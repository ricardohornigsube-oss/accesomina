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ce9359cfe9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e18927556a64ac6"/>
    <x:sheet xmlns:r="http://schemas.openxmlformats.org/officeDocument/2006/relationships" name="Comparativa" sheetId="2" r:id="R9ffdeee1e6b34e0b"/>
    <x:sheet xmlns:r="http://schemas.openxmlformats.org/officeDocument/2006/relationships" name="Precios Mercado" sheetId="3" r:id="Rc78cd683036844c5"/>
    <x:sheet xmlns:r="http://schemas.openxmlformats.org/officeDocument/2006/relationships" name="Plan Cobro" sheetId="4" r:id="R42730ca5a4f3453e"/>
    <x:sheet xmlns:r="http://schemas.openxmlformats.org/officeDocument/2006/relationships" name="Supuestos" sheetId="5" r:id="R9fe1f3129698493a"/>
    <x:sheet xmlns:r="http://schemas.openxmlformats.org/officeDocument/2006/relationships" name="Proyeccion 48m" sheetId="6" r:id="R8690118d0ba54a65"/>
    <x:sheet xmlns:r="http://schemas.openxmlformats.org/officeDocument/2006/relationships" name="Hitos 12-24-48" sheetId="7" r:id="R6b549ac2dd5344d1"/>
    <x:sheet xmlns:r="http://schemas.openxmlformats.org/officeDocument/2006/relationships" name="Fuentes" sheetId="8" r:id="R6a7629e7bcd542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&quot;$&quot;#,##0"/>
    <x:numFmt numFmtId="202" formatCode="&quot;$&quot;#,##0.00"/>
    <x:numFmt numFmtId="203" formatCode="0%"/>
    <x:numFmt numFmtId="204" formatCode="0.0%"/>
  </x:numFmts>
  <x:fonts count="4">
    <x:font>
      <x:sz val="11"/>
      <x:name val="Carlito"/>
    </x:font>
    <x:font>
      <x:b/>
      <x:sz val="18"/>
      <x:color rgb="FFFFFFFF"/>
      <x:name val="Carlito"/>
    </x:font>
    <x:font>
      <x:sz val="10"/>
      <x:color rgb="FF17212B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0252B"/>
      </x:patternFill>
    </x:fill>
    <x:fill>
      <x:patternFill patternType="solid">
        <x:fgColor rgb="FFEAF7FB"/>
      </x:patternFill>
    </x:fill>
    <x:fill>
      <x:patternFill patternType="solid">
        <x:fgColor rgb="FF17212B"/>
      </x:patternFill>
    </x:fill>
    <x:fill>
      <x:patternFill patternType="solid">
        <x:fgColor rgb="FFFFF2CC"/>
      </x:patternFill>
    </x:fill>
    <x:fill>
      <x:patternFill patternType="solid">
        <x:fgColor rgb="FFFDECEC"/>
      </x:patternFill>
    </x:fill>
    <x:fill>
      <x:patternFill patternType="solid">
        <x:fgColor rgb="FFE7F5EC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CE2E6"/>
      </x:bottom>
    </x:border>
    <x:border>
      <x:top style="thin">
        <x:color rgb="FFDCE2E6"/>
      </x:top>
      <x:bottom style="thin">
        <x:color rgb="FFDCE2E6"/>
      </x:bottom>
    </x:border>
    <x:border>
      <x:top style="thin">
        <x:color rgb="FFDCE2E6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vertical="center" wrapText="1"/>
    </x:xf>
    <x:xf numFmtId="201" fontId="2" fillId="0" borderId="4" xfId="0" applyNumberFormat="1" applyFont="1" applyFill="1" applyBorder="1" applyAlignment="1">
      <x:alignment vertical="center" wrapText="1"/>
    </x:xf>
    <x:xf numFmtId="201" fontId="2" fillId="0" borderId="5" xfId="0" applyNumberFormat="1" applyFont="1" applyFill="1" applyBorder="1" applyAlignment="1">
      <x:alignment vertical="center" wrapText="1"/>
    </x:xf>
    <x:xf numFmtId="201" fontId="2" fillId="0" borderId="6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202" fontId="2" fillId="0" borderId="4" xfId="0" applyNumberFormat="1" applyFont="1" applyFill="1" applyBorder="1" applyAlignment="1">
      <x:alignment vertical="center" wrapText="1"/>
    </x:xf>
    <x:xf numFmtId="202" fontId="2" fillId="0" borderId="5" xfId="0" applyNumberFormat="1" applyFont="1" applyFill="1" applyBorder="1" applyAlignment="1">
      <x:alignment vertical="center" wrapText="1"/>
    </x:xf>
    <x:xf numFmtId="202" fontId="2" fillId="0" borderId="6" xfId="0" applyNumberFormat="1" applyFont="1" applyFill="1" applyBorder="1" applyAlignment="1">
      <x:alignment vertical="center" wrapText="1"/>
    </x:xf>
    <x:xf numFmtId="203" fontId="2" fillId="0" borderId="4" xfId="0" applyNumberFormat="1" applyFont="1" applyFill="1" applyBorder="1" applyAlignment="1">
      <x:alignment vertical="center" wrapText="1"/>
    </x:xf>
    <x:xf numFmtId="203" fontId="2" fillId="0" borderId="5" xfId="0" applyNumberFormat="1" applyFont="1" applyFill="1" applyBorder="1" applyAlignment="1">
      <x:alignment vertical="center" wrapText="1"/>
    </x:xf>
    <x:xf numFmtId="203" fontId="2" fillId="0" borderId="6" xfId="0" applyNumberFormat="1" applyFont="1" applyFill="1" applyBorder="1" applyAlignment="1">
      <x:alignment vertical="center" wrapText="1"/>
    </x:xf>
    <x:xf numFmtId="0" fontId="2" fillId="5" borderId="4" xfId="0" applyNumberFormat="1" applyFont="1" applyFill="1" applyBorder="1" applyAlignment="1">
      <x:alignment vertical="center" wrapText="1"/>
    </x:xf>
    <x:xf numFmtId="0" fontId="2" fillId="5" borderId="5" xfId="0" applyNumberFormat="1" applyFont="1" applyFill="1" applyBorder="1" applyAlignment="1">
      <x:alignment vertical="center" wrapText="1"/>
    </x:xf>
    <x:xf numFmtId="0" fontId="2" fillId="5" borderId="6" xfId="0" applyNumberFormat="1" applyFont="1" applyFill="1" applyBorder="1" applyAlignment="1">
      <x:alignment vertical="center" wrapText="1"/>
    </x:xf>
    <x:xf numFmtId="203" fontId="2" fillId="5" borderId="5" xfId="0" applyNumberFormat="1" applyFont="1" applyFill="1" applyBorder="1" applyAlignment="1">
      <x:alignment vertical="center" wrapText="1"/>
    </x:xf>
    <x:xf numFmtId="204" fontId="2" fillId="5" borderId="5" xfId="0" applyNumberFormat="1" applyFont="1" applyFill="1" applyBorder="1" applyAlignment="1">
      <x:alignment vertical="center" wrapText="1"/>
    </x:xf>
    <x:xf numFmtId="204" fontId="2" fillId="5" borderId="6" xfId="0" applyNumberFormat="1" applyFont="1" applyFill="1" applyBorder="1" applyAlignment="1">
      <x:alignment vertical="center" wrapText="1"/>
    </x:xf>
    <x:xf numFmtId="201" fontId="2" fillId="5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2" fillId="0" borderId="0" xfId="0" applyNumberFormat="1" applyFont="1" applyFill="1" applyBorder="1"/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201" fontId="2" fillId="0" borderId="4" xfId="0" applyNumberFormat="1" applyFont="1" applyFill="1" applyBorder="1" applyAlignment="1">
      <x:alignment wrapText="1"/>
    </x:xf>
    <x:xf numFmtId="201" fontId="2" fillId="0" borderId="6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vertical="center" wrapText="1"/>
    </x:xf>
    <x:xf numFmtId="0" fontId="2" fillId="6" borderId="5" xfId="0" applyNumberFormat="1" applyFont="1" applyFill="1" applyBorder="1" applyAlignment="1">
      <x:alignment vertical="center" wrapText="1"/>
    </x:xf>
    <x:xf numFmtId="0" fontId="2" fillId="6" borderId="6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 applyAlignment="1">
      <x:alignment vertical="center" wrapText="1"/>
    </x:xf>
    <x:xf numFmtId="0" fontId="2" fillId="7" borderId="5" xfId="0" applyNumberFormat="1" applyFont="1" applyFill="1" applyBorder="1" applyAlignment="1">
      <x:alignment vertical="center" wrapText="1"/>
    </x:xf>
    <x:xf numFmtId="0" fontId="2" fillId="7" borderId="6" xfId="0" applyNumberFormat="1" applyFont="1" applyFill="1" applyBorder="1" applyAlignment="1">
      <x:alignment vertical="center" wrapText="1"/>
    </x:xf>
    <x:xf numFmtId="201" fontId="2" fillId="5" borderId="4" xfId="0" applyNumberFormat="1" applyFont="1" applyFill="1" applyBorder="1" applyAlignment="1">
      <x:alignment vertical="center" wrapText="1"/>
    </x:xf>
    <x:xf numFmtId="201" fontId="2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91b339bc147c7" /><Relationship Type="http://schemas.openxmlformats.org/officeDocument/2006/relationships/theme" Target="/xl/theme/theme1.xml" Id="R88fec356ad624449" /><Relationship Type="http://schemas.openxmlformats.org/officeDocument/2006/relationships/sharedStrings" Target="/xl/sharedStrings.xml" Id="Rc89ea79278994608" /><Relationship Type="http://schemas.openxmlformats.org/officeDocument/2006/relationships/worksheet" Target="/xl/worksheets/sheet1.xml" Id="Rce18927556a64ac6" /><Relationship Type="http://schemas.openxmlformats.org/officeDocument/2006/relationships/worksheet" Target="/xl/worksheets/sheet2.xml" Id="R9ffdeee1e6b34e0b" /><Relationship Type="http://schemas.openxmlformats.org/officeDocument/2006/relationships/worksheet" Target="/xl/worksheets/sheet3.xml" Id="Rc78cd683036844c5" /><Relationship Type="http://schemas.openxmlformats.org/officeDocument/2006/relationships/worksheet" Target="/xl/worksheets/sheet4.xml" Id="R42730ca5a4f3453e" /><Relationship Type="http://schemas.openxmlformats.org/officeDocument/2006/relationships/worksheet" Target="/xl/worksheets/sheet5.xml" Id="R9fe1f3129698493a" /><Relationship Type="http://schemas.openxmlformats.org/officeDocument/2006/relationships/worksheet" Target="/xl/worksheets/sheet6.xml" Id="R8690118d0ba54a65" /><Relationship Type="http://schemas.openxmlformats.org/officeDocument/2006/relationships/worksheet" Target="/xl/worksheets/sheet7.xml" Id="R6b549ac2dd5344d1" /><Relationship Type="http://schemas.openxmlformats.org/officeDocument/2006/relationships/worksheet" Target="/xl/worksheets/sheet8.xml" Id="R6a7629e7bcd54253" /><Relationship Type="http://schemas.microsoft.com/office/2017/10/relationships/person" Target="/xl/persons/person.xml" Id="R740a8123672b42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9ef65d3ea9497c" /><Relationship Type="http://schemas.openxmlformats.org/officeDocument/2006/relationships/chart" Target="/xl/drawings/charts/chart2.xml" Id="Rf10ee698e79c4e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Perfil competitivo relativo (1-5)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Domian</c:v>
          </c:tx>
          <c:dLbls/>
          <c:cat>
            <c:strRef>
              <c:f>'Resumen'!$F$5:$F$10</c:f>
              <c:strCache>
                <c:ptCount val="0"/>
              </c:strCache>
            </c:strRef>
          </c:cat>
          <c:val>
            <c:numRef>
              <c:f>'Resumen'!$G$5:$G$10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Workmate</c:v>
          </c:tx>
          <c:dLbls/>
          <c:cat>
            <c:strRef>
              <c:f>'Resumen'!$F$5:$F$10</c:f>
              <c:strCache>
                <c:ptCount val="0"/>
              </c:strCache>
            </c:strRef>
          </c:cat>
          <c:val>
            <c:numRef>
              <c:f>'Resumen'!$H$5:$H$10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Krew</c:v>
          </c:tx>
          <c:dLbls/>
          <c:cat>
            <c:strRef>
              <c:f>'Resumen'!$F$5:$F$10</c:f>
              <c:strCache>
                <c:ptCount val="0"/>
              </c:strCache>
            </c:strRef>
          </c:cat>
          <c:val>
            <c:numRef>
              <c:f>'Resumen'!$I$5:$I$10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ASTA</c:v>
          </c:tx>
          <c:dLbls/>
          <c:cat>
            <c:strRef>
              <c:f>'Resumen'!$F$5:$F$10</c:f>
              <c:strCache>
                <c:ptCount val="0"/>
              </c:strCache>
            </c:strRef>
          </c:cat>
          <c:val>
            <c:numRef>
              <c:f>'Resumen'!$J$5:$J$10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Vigenty</c:v>
          </c:tx>
          <c:dLbls/>
          <c:cat>
            <c:strRef>
              <c:f>'Resumen'!$F$5:$F$10</c:f>
              <c:strCache>
                <c:ptCount val="0"/>
              </c:strCache>
            </c:strRef>
          </c:cat>
          <c:val>
            <c:numRef>
              <c:f>'Resumen'!$K$5:$K$10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Worku</c:v>
          </c:tx>
          <c:dLbls/>
          <c:cat>
            <c:strRef>
              <c:f>'Resumen'!$F$5:$F$10</c:f>
              <c:strCache>
                <c:ptCount val="0"/>
              </c:strCache>
            </c:strRef>
          </c:cat>
          <c:val>
            <c:numRef>
              <c:f>'Resumen'!$L$5:$L$10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Clientes activos - escenario base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Clientes activos</c:v>
          </c:tx>
          <c:spPr>
            <a:solidFill xmlns:a="http://schemas.openxmlformats.org/drawingml/2006/main">
              <a:srgbClr val="35B8E0"/>
            </a:solidFill>
          </c:spPr>
          <c:marker>
            <c:symbol val="none"/>
          </c:marker>
          <c:dLbls/>
          <c:cat>
            <c:strRef>
              <c:f>'Proyeccion 48m'!$A$5:$A$52</c:f>
              <c:strCache>
                <c:ptCount val="0"/>
              </c:strCache>
            </c:strRef>
          </c:cat>
          <c:val>
            <c:numRef>
              <c:f>'Proyeccion 48m'!$H$5:$H$52</c:f>
              <c:numCache>
                <c:formatCode>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9ef65d3ea9497c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5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0ee698e79c4e3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Ricardo Hornig" id="{500C6052-B6E7-490D-AF2F-50E35B383A5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140bb8ccd746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3" max="3" width="44" hidden="0" customWidth="1"/>
    <x:col min="4" max="4" width="38" hidden="0" customWidth="1"/>
    <x:col min="6" max="6" width="25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32" customHeight="1">
      <x:c r="A1" s="3" t="str">
        <x:v>Domian Nexo | Mercado, precios y crecimiento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6" customHeight="1">
      <x:c r="A2" s="7" t="str">
        <x:v>Análisis comercial editable. Valores sin IVA. Datos de mercado consultados el 6 de julio de 2026.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6" t="str">
        <x:v>Decisión</x:v>
      </x:c>
      <x:c r="B4" s="17" t="str">
        <x:v>Recomendación</x:v>
      </x:c>
      <x:c r="C4" s="17" t="str">
        <x:v>Fundamento</x:v>
      </x:c>
      <x:c r="D4" s="18" t="str">
        <x:v>Acción inmediata</x:v>
      </x:c>
      <x:c r="F4" s="16" t="str">
        <x:v>Criterio</x:v>
      </x:c>
      <x:c r="G4" s="17" t="str">
        <x:v>Domian</x:v>
      </x:c>
      <x:c r="H4" s="17" t="str">
        <x:v>Workmate</x:v>
      </x:c>
      <x:c r="I4" s="17" t="str">
        <x:v>Krew</x:v>
      </x:c>
      <x:c r="J4" s="17" t="str">
        <x:v>ASTA</x:v>
      </x:c>
      <x:c r="K4" s="17" t="str">
        <x:v>Vigenty</x:v>
      </x:c>
      <x:c r="L4" s="18" t="str">
        <x:v>Worku</x:v>
      </x:c>
    </x:row>
    <x:row r="5">
      <x:c r="A5" s="26" t="str">
        <x:v>Posicionamiento</x:v>
      </x:c>
      <x:c r="B5" s="26" t="str">
        <x:v>Sistema operativo para empresas contratistas</x:v>
      </x:c>
      <x:c r="C5" s="26" t="str">
        <x:v>Domian integra cumplimiento, personas, contratos y operación en una misma base</x:v>
      </x:c>
      <x:c r="D5" s="26" t="str">
        <x:v>Vender control operacional, no almacenamiento de archivos</x:v>
      </x:c>
      <x:c r="F5" s="26" t="str">
        <x:v>Amplitud funcional</x:v>
      </x:c>
      <x:c r="G5" s="26" t="n">
        <x:v>5</x:v>
      </x:c>
      <x:c r="H5" s="26" t="n">
        <x:v>5</x:v>
      </x:c>
      <x:c r="I5" s="26" t="n">
        <x:v>4</x:v>
      </x:c>
      <x:c r="J5" s="26" t="n">
        <x:v>3</x:v>
      </x:c>
      <x:c r="K5" s="26" t="n">
        <x:v>3</x:v>
      </x:c>
      <x:c r="L5" s="26" t="n">
        <x:v>2</x:v>
      </x:c>
    </x:row>
    <x:row r="6">
      <x:c r="A6" s="27" t="str">
        <x:v>Competidor más completo</x:v>
      </x:c>
      <x:c r="B6" s="27" t="str">
        <x:v>Workmate</x:v>
      </x:c>
      <x:c r="C6" s="27" t="str">
        <x:v>Mayor amplitud y evidencia pública en gran minería; incluye acceso, control laboral y campamentos</x:v>
      </x:c>
      <x:c r="D6" s="27" t="str">
        <x:v>No competir frontalmente en megaproyectos al inicio</x:v>
      </x:c>
      <x:c r="F6" s="27" t="str">
        <x:v>Madurez productiva</x:v>
      </x:c>
      <x:c r="G6" s="27" t="n">
        <x:v>2</x:v>
      </x:c>
      <x:c r="H6" s="27" t="n">
        <x:v>5</x:v>
      </x:c>
      <x:c r="I6" s="27" t="n">
        <x:v>3</x:v>
      </x:c>
      <x:c r="J6" s="27" t="n">
        <x:v>2</x:v>
      </x:c>
      <x:c r="K6" s="27" t="n">
        <x:v>2</x:v>
      </x:c>
      <x:c r="L6" s="27" t="n">
        <x:v>3</x:v>
      </x:c>
    </x:row>
    <x:row r="7">
      <x:c r="A7" s="27" t="str">
        <x:v>Competidor tecnológico</x:v>
      </x:c>
      <x:c r="B7" s="27" t="str">
        <x:v>Krew</x:v>
      </x:c>
      <x:c r="C7" s="27" t="str">
        <x:v>AI/OCR, permisos digitales, QR y auditoría inmutable</x:v>
      </x:c>
      <x:c r="D7" s="27" t="str">
        <x:v>Priorizar OCR verificable, QR y portal mandante</x:v>
      </x:c>
      <x:c r="F7" s="27" t="str">
        <x:v>IA/OCR verificable</x:v>
      </x:c>
      <x:c r="G7" s="27" t="n">
        <x:v>2</x:v>
      </x:c>
      <x:c r="H7" s="27" t="n">
        <x:v>2</x:v>
      </x:c>
      <x:c r="I7" s="27" t="n">
        <x:v>5</x:v>
      </x:c>
      <x:c r="J7" s="27" t="n">
        <x:v>1</x:v>
      </x:c>
      <x:c r="K7" s="27" t="n">
        <x:v>3</x:v>
      </x:c>
      <x:c r="L7" s="27" t="n">
        <x:v>3</x:v>
      </x:c>
    </x:row>
    <x:row r="8">
      <x:c r="A8" s="27" t="str">
        <x:v>Precio recomendado</x:v>
      </x:c>
      <x:c r="B8" s="27" t="str">
        <x:v>Desde $149.000 CLP/mes + implementación</x:v>
      </x:c>
      <x:c r="C8" s="27" t="str">
        <x:v>Sobre ASTA por mayor profundidad; comparable con mínimos de suites RR.HH.</x:v>
      </x:c>
      <x:c r="D8" s="27" t="str">
        <x:v>Pilotear con 5-10 clientes y medir disposición a pagar</x:v>
      </x:c>
      <x:c r="F8" s="27" t="str">
        <x:v>Operación contratista</x:v>
      </x:c>
      <x:c r="G8" s="27" t="n">
        <x:v>5</x:v>
      </x:c>
      <x:c r="H8" s="27" t="n">
        <x:v>4</x:v>
      </x:c>
      <x:c r="I8" s="27" t="n">
        <x:v>5</x:v>
      </x:c>
      <x:c r="J8" s="27" t="n">
        <x:v>4</x:v>
      </x:c>
      <x:c r="K8" s="27" t="n">
        <x:v>2</x:v>
      </x:c>
      <x:c r="L8" s="27" t="n">
        <x:v>2</x:v>
      </x:c>
    </x:row>
    <x:row r="9">
      <x:c r="A9" s="28" t="str">
        <x:v>Mercado inicial</x:v>
      </x:c>
      <x:c r="B9" s="28" t="str">
        <x:v>Contratistas de 20 a 500 trabajadores</x:v>
      </x:c>
      <x:c r="C9" s="28" t="str">
        <x:v>SICEP registra más de 3.500 proveedores y 36 grandes compañías usuarias</x:v>
      </x:c>
      <x:c r="D9" s="28" t="str">
        <x:v>Foco norte minero, mantenimiento industrial y servicios spot</x:v>
      </x:c>
      <x:c r="F9" s="27" t="str">
        <x:v>Transparencia de precio</x:v>
      </x:c>
      <x:c r="G9" s="27" t="n">
        <x:v>4</x:v>
      </x:c>
      <x:c r="H9" s="27" t="n">
        <x:v>1</x:v>
      </x:c>
      <x:c r="I9" s="27" t="n">
        <x:v>1</x:v>
      </x:c>
      <x:c r="J9" s="27" t="n">
        <x:v>5</x:v>
      </x:c>
      <x:c r="K9" s="27" t="n">
        <x:v>1</x:v>
      </x:c>
      <x:c r="L9" s="27" t="n">
        <x:v>1</x:v>
      </x:c>
    </x:row>
    <x:row r="10">
      <x:c r="F10" s="28" t="str">
        <x:v>Facilidad para pyme</x:v>
      </x:c>
      <x:c r="G10" s="28" t="n">
        <x:v>4</x:v>
      </x:c>
      <x:c r="H10" s="28" t="n">
        <x:v>2</x:v>
      </x:c>
      <x:c r="I10" s="28" t="n">
        <x:v>3</x:v>
      </x:c>
      <x:c r="J10" s="28" t="n">
        <x:v>5</x:v>
      </x:c>
      <x:c r="K10" s="28" t="n">
        <x:v>3</x:v>
      </x:c>
      <x:c r="L10" s="28" t="n">
        <x:v>3</x:v>
      </x:c>
    </x:row>
    <x:row r="11">
      <x:c r="A11" s="16" t="str">
        <x:v>Horizonte</x:v>
      </x:c>
      <x:c r="B11" s="17" t="str">
        <x:v>Clientes activos base</x:v>
      </x:c>
      <x:c r="C11" s="17" t="str">
        <x:v>MRR base</x:v>
      </x:c>
      <x:c r="D11" s="18" t="str">
        <x:v>Ingresos acumulados base</x:v>
      </x:c>
    </x:row>
    <x:row r="12">
      <x:c r="A12" s="26" t="str">
        <x:v>12 meses</x:v>
      </x:c>
      <x:c r="B12" s="29" t="n">
        <x:f>'Proyeccion 48m'!H16</x:f>
        <x:v>17.213497888287073</x:v>
      </x:c>
      <x:c r="C12" s="32" t="n">
        <x:f>'Proyeccion 48m'!I16</x:f>
        <x:v>5770480.897090475</x:v>
      </x:c>
      <x:c r="D12" s="32" t="n">
        <x:f>'Proyeccion 48m'!O16</x:f>
        <x:v>47459791.18804295</x:v>
      </x:c>
    </x:row>
    <x:row r="13">
      <x:c r="A13" s="27" t="str">
        <x:v>24 meses</x:v>
      </x:c>
      <x:c r="B13" s="30" t="n">
        <x:f>'Proyeccion 48m'!H28</x:f>
        <x:v>43.832794834169334</x:v>
      </x:c>
      <x:c r="C13" s="33" t="n">
        <x:f>'Proyeccion 48m'!I28</x:f>
        <x:v>14694067.812258586</x:v>
      </x:c>
      <x:c r="D13" s="33" t="n">
        <x:f>'Proyeccion 48m'!O28</x:f>
        <x:v>195253686.58639973</x:v>
      </x:c>
    </x:row>
    <x:row r="14">
      <x:c r="A14" s="28" t="str">
        <x:v>48 meses</x:v>
      </x:c>
      <x:c r="B14" s="31" t="n">
        <x:f>'Proyeccion 48m'!H52</x:f>
        <x:v>131.5287252571939</x:v>
      </x:c>
      <x:c r="C14" s="34" t="n">
        <x:f>'Proyeccion 48m'!I52</x:f>
        <x:v>44092374.56796911</x:v>
      </x:c>
      <x:c r="D14" s="34" t="n">
        <x:f>'Proyeccion 48m'!O52</x:f>
        <x:v>997245717.7710568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25140bb8ccd746a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56" hidden="0" customWidth="1"/>
    <x:col min="4" max="4" width="28" hidden="0" customWidth="1"/>
    <x:col min="5" max="5" width="30" hidden="0" customWidth="1"/>
    <x:col min="6" max="6" width="13" hidden="0" customWidth="1"/>
    <x:col min="7" max="7" width="15" hidden="0" customWidth="1"/>
    <x:col min="8" max="8" width="42" hidden="0" customWidth="1"/>
    <x:col min="9" max="9" width="48" hidden="0" customWidth="1"/>
  </x:cols>
  <x:sheetData>
    <x:row r="1" ht="32" customHeight="1">
      <x:c r="A1" s="3" t="str">
        <x:v>Tabla comparativa del mercado</x:v>
      </x:c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7" t="str">
        <x:v>Puntaje funcional: 0-30 según evidencia pública. Madurez: 1-5 según escala, referencias y alcance publicado.</x:v>
      </x:c>
      <x:c r="B2" s="7"/>
      <x:c r="C2" s="7"/>
      <x:c r="D2" s="7"/>
      <x:c r="E2" s="7"/>
      <x:c r="F2" s="7"/>
      <x:c r="G2" s="7"/>
      <x:c r="H2" s="7"/>
      <x:c r="I2" s="7"/>
    </x:row>
    <x:row r="4" ht="38" customHeight="1">
      <x:c r="A4" s="16" t="str">
        <x:v>Empresa</x:v>
      </x:c>
      <x:c r="B4" s="17" t="str">
        <x:v>Foco</x:v>
      </x:c>
      <x:c r="C4" s="17" t="str">
        <x:v>Capacidades destacadas</x:v>
      </x:c>
      <x:c r="D4" s="17" t="str">
        <x:v>Precio público</x:v>
      </x:c>
      <x:c r="E4" s="17" t="str">
        <x:v>Forma de cobro</x:v>
      </x:c>
      <x:c r="F4" s="17" t="str">
        <x:v>Madurez 1-5</x:v>
      </x:c>
      <x:c r="G4" s="17" t="str">
        <x:v>Funcional 0-30</x:v>
      </x:c>
      <x:c r="H4" s="17" t="str">
        <x:v>Lectura ejecutiva</x:v>
      </x:c>
      <x:c r="I4" s="18" t="str">
        <x:v>Fuente</x:v>
      </x:c>
    </x:row>
    <x:row r="5" ht="38" customHeight="1">
      <x:c r="A5" s="26" t="str">
        <x:v>Workmate Resource Manager</x:v>
      </x:c>
      <x:c r="B5" s="26" t="str">
        <x:v>Mandantes / gran minería</x:v>
      </x:c>
      <x:c r="C5" s="26" t="str">
        <x:v>Acreditación, acceso, control laboral, casinos/campamentos, policlínico</x:v>
      </x:c>
      <x:c r="D5" s="26" t="str">
        <x:v>No publicado</x:v>
      </x:c>
      <x:c r="E5" s="26" t="str">
        <x:v>Cotización empresarial / módulos</x:v>
      </x:c>
      <x:c r="F5" s="35" t="n">
        <x:v>5</x:v>
      </x:c>
      <x:c r="G5" s="35" t="n">
        <x:v>21</x:v>
      </x:c>
      <x:c r="H5" s="26" t="str">
        <x:v>Más completa y probada para mandantes grandes</x:v>
      </x:c>
      <x:c r="I5" s="26" t="str">
        <x:v>https://www.workmate.cl/resource-manager/</x:v>
      </x:c>
    </x:row>
    <x:row r="6" ht="38" customHeight="1">
      <x:c r="A6" s="27" t="str">
        <x:v>Krew</x:v>
      </x:c>
      <x:c r="B6" s="27" t="str">
        <x:v>Contratistas mineros 50-500 personas</x:v>
      </x:c>
      <x:c r="C6" s="27" t="str">
        <x:v>Acreditación AI, permisos, QR, terreno, auditoría, inteligencia</x:v>
      </x:c>
      <x:c r="D6" s="27" t="str">
        <x:v>No publicado</x:v>
      </x:c>
      <x:c r="E6" s="27" t="str">
        <x:v>Suscripción por contratista; piloto 90 días</x:v>
      </x:c>
      <x:c r="F6" s="36" t="n">
        <x:v>3</x:v>
      </x:c>
      <x:c r="G6" s="36" t="n">
        <x:v>20</x:v>
      </x:c>
      <x:c r="H6" s="27" t="str">
        <x:v>Mejor propuesta AI-native y operación en terreno</x:v>
      </x:c>
      <x:c r="I6" s="27" t="str">
        <x:v>https://krew.team/</x:v>
      </x:c>
    </x:row>
    <x:row r="7" ht="38" customHeight="1">
      <x:c r="A7" s="27" t="str">
        <x:v>Domian Nexo</x:v>
      </x:c>
      <x:c r="B7" s="27" t="str">
        <x:v>Contratistas de minería y servicios industriales</x:v>
      </x:c>
      <x:c r="C7" s="27" t="str">
        <x:v>Clientes, contratos, proyectos, personal, documentos, EPP, vehículos, hotelería, turnos, WA, auditoría y leads</x:v>
      </x:c>
      <x:c r="D7" s="27" t="str">
        <x:v>Propuesta propia</x:v>
      </x:c>
      <x:c r="E7" s="27" t="str">
        <x:v>Implementación + SaaS por capacidad</x:v>
      </x:c>
      <x:c r="F7" s="36" t="n">
        <x:v>2</x:v>
      </x:c>
      <x:c r="G7" s="36" t="n">
        <x:v>28</x:v>
      </x:c>
      <x:c r="H7" s="27" t="str">
        <x:v>Mayor amplitud funcional; debe demostrar madurez productiva</x:v>
      </x:c>
      <x:c r="I7" s="27" t="str">
        <x:v>https://www.domian.cl/</x:v>
      </x:c>
    </x:row>
    <x:row r="8" ht="38" customHeight="1">
      <x:c r="A8" s="27" t="str">
        <x:v>SGI Exacto</x:v>
      </x:c>
      <x:c r="B8" s="27" t="str">
        <x:v>Operaciones mineras</x:v>
      </x:c>
      <x:c r="C8" s="27" t="str">
        <x:v>Reclutamiento, logística, acceso, capacitación, acreditación, mantención, bodega y remuneraciones</x:v>
      </x:c>
      <x:c r="D8" s="27" t="str">
        <x:v>No publicado</x:v>
      </x:c>
      <x:c r="E8" s="27" t="str">
        <x:v>Arriendo mensual / cotización</x:v>
      </x:c>
      <x:c r="F8" s="36" t="n">
        <x:v>3</x:v>
      </x:c>
      <x:c r="G8" s="36" t="n">
        <x:v>20</x:v>
      </x:c>
      <x:c r="H8" s="27" t="str">
        <x:v>Suite minera amplia</x:v>
      </x:c>
      <x:c r="I8" s="27" t="str">
        <x:v>https://www.sgi.exacto.cl/</x:v>
      </x:c>
    </x:row>
    <x:row r="9" ht="38" customHeight="1">
      <x:c r="A9" s="27" t="str">
        <x:v>Vigenty</x:v>
      </x:c>
      <x:c r="B9" s="27" t="str">
        <x:v>Minería, construcción y transporte</x:v>
      </x:c>
      <x:c r="C9" s="27" t="str">
        <x:v>Control documental, mesa de validación, acceso, alertas, S3/R2 y auditoría</x:v>
      </x:c>
      <x:c r="D9" s="27" t="str">
        <x:v>No publicado</x:v>
      </x:c>
      <x:c r="E9" s="27" t="str">
        <x:v>Demo y cotización</x:v>
      </x:c>
      <x:c r="F9" s="36" t="n">
        <x:v>2</x:v>
      </x:c>
      <x:c r="G9" s="36" t="n">
        <x:v>16</x:v>
      </x:c>
      <x:c r="H9" s="27" t="str">
        <x:v>Fuerte en workflow documental configurable</x:v>
      </x:c>
      <x:c r="I9" s="27" t="str">
        <x:v>https://www.vigenty.cl/</x:v>
      </x:c>
    </x:row>
    <x:row r="10" ht="38" customHeight="1">
      <x:c r="A10" s="27" t="str">
        <x:v>ASTA</x:v>
      </x:c>
      <x:c r="B10" s="27" t="str">
        <x:v>Empresas de servicios técnicos</x:v>
      </x:c>
      <x:c r="C10" s="27" t="str">
        <x:v>Órdenes, cuadrillas, acreditaciones, planificación, facturación y portal cliente</x:v>
      </x:c>
      <x:c r="D10" s="27" t="str">
        <x:v>$29.900-$249.900 CLP/mes</x:v>
      </x:c>
      <x:c r="E10" s="27" t="str">
        <x:v>Plan fijo mensual; anual -17%</x:v>
      </x:c>
      <x:c r="F10" s="36" t="n">
        <x:v>2</x:v>
      </x:c>
      <x:c r="G10" s="36" t="n">
        <x:v>17</x:v>
      </x:c>
      <x:c r="H10" s="27" t="str">
        <x:v>Referencia transparente de entrada y servicios técnicos</x:v>
      </x:c>
      <x:c r="I10" s="27" t="str">
        <x:v>https://www.asta.cl/</x:v>
      </x:c>
    </x:row>
    <x:row r="11" ht="38" customHeight="1">
      <x:c r="A11" s="27" t="str">
        <x:v>Worku</x:v>
      </x:c>
      <x:c r="B11" s="27" t="str">
        <x:v>Contratistas mineros</x:v>
      </x:c>
      <x:c r="C11" s="27" t="str">
        <x:v>Documentos, exámenes, certificaciones, alertas e integración con portales mineros</x:v>
      </x:c>
      <x:c r="D11" s="27" t="str">
        <x:v>No publicado</x:v>
      </x:c>
      <x:c r="E11" s="27" t="str">
        <x:v>Demo y cotización</x:v>
      </x:c>
      <x:c r="F11" s="36" t="n">
        <x:v>3</x:v>
      </x:c>
      <x:c r="G11" s="36" t="n">
        <x:v>13</x:v>
      </x:c>
      <x:c r="H11" s="27" t="str">
        <x:v>Especialista en acreditación preventiva</x:v>
      </x:c>
      <x:c r="I11" s="27" t="str">
        <x:v>https://www.worku.cl/</x:v>
      </x:c>
    </x:row>
    <x:row r="12" ht="38" customHeight="1">
      <x:c r="A12" s="27" t="str">
        <x:v>SmartCheck</x:v>
      </x:c>
      <x:c r="B12" s="27" t="str">
        <x:v>Mandantes y auditoría</x:v>
      </x:c>
      <x:c r="C12" s="27" t="str">
        <x:v>Contratos, matrices documentales, trabajadores, vehículos, equipos e interoperabilidad</x:v>
      </x:c>
      <x:c r="D12" s="27" t="str">
        <x:v>No publicado</x:v>
      </x:c>
      <x:c r="E12" s="27" t="str">
        <x:v>Cotización</x:v>
      </x:c>
      <x:c r="F12" s="36" t="n">
        <x:v>3</x:v>
      </x:c>
      <x:c r="G12" s="36" t="n">
        <x:v>13</x:v>
      </x:c>
      <x:c r="H12" s="27" t="str">
        <x:v>Fuerte en control de contratistas y auditoría</x:v>
      </x:c>
      <x:c r="I12" s="27" t="str">
        <x:v>https://www.smartcheck.cl/</x:v>
      </x:c>
    </x:row>
    <x:row r="13" ht="38" customHeight="1">
      <x:c r="A13" s="27" t="str">
        <x:v>Minpass</x:v>
      </x:c>
      <x:c r="B13" s="27" t="str">
        <x:v>Trabajadores, contratistas y mineras</x:v>
      </x:c>
      <x:c r="C13" s="27" t="str">
        <x:v>Perfil reutilizable, carga masiva, alertas y trazabilidad</x:v>
      </x:c>
      <x:c r="D13" s="27" t="str">
        <x:v>No publicado</x:v>
      </x:c>
      <x:c r="E13" s="27" t="str">
        <x:v>Registro / cotización</x:v>
      </x:c>
      <x:c r="F13" s="36" t="n">
        <x:v>2</x:v>
      </x:c>
      <x:c r="G13" s="36" t="n">
        <x:v>13</x:v>
      </x:c>
      <x:c r="H13" s="27" t="str">
        <x:v>Modelo de red y pasaporte laboral</x:v>
      </x:c>
      <x:c r="I13" s="27" t="str">
        <x:v>https://minpass.com/</x:v>
      </x:c>
    </x:row>
    <x:row r="14" ht="38" customHeight="1">
      <x:c r="A14" s="27" t="str">
        <x:v>SubCheck</x:v>
      </x:c>
      <x:c r="B14" s="27" t="str">
        <x:v>Mandantes y contratistas</x:v>
      </x:c>
      <x:c r="C14" s="27" t="str">
        <x:v>F30, F30-1, Previred, liquidaciones, contratos, alertas y trazabilidad</x:v>
      </x:c>
      <x:c r="D14" s="27" t="str">
        <x:v>No publicado</x:v>
      </x:c>
      <x:c r="E14" s="27" t="str">
        <x:v>Demo y cotización</x:v>
      </x:c>
      <x:c r="F14" s="36" t="n">
        <x:v>2</x:v>
      </x:c>
      <x:c r="G14" s="36" t="n">
        <x:v>12</x:v>
      </x:c>
      <x:c r="H14" s="27" t="str">
        <x:v>Especialista en cumplimiento laboral previsional</x:v>
      </x:c>
      <x:c r="I14" s="27" t="str">
        <x:v>https://www.subcheck.cl/</x:v>
      </x:c>
    </x:row>
    <x:row r="15" ht="38" customHeight="1">
      <x:c r="A15" s="27" t="str">
        <x:v>Rex+</x:v>
      </x:c>
      <x:c r="B15" s="27" t="str">
        <x:v>RR.HH. multiempresa</x:v>
      </x:c>
      <x:c r="C15" s="27" t="str">
        <x:v>Personas, documentos, firma, asistencia, remuneraciones, capacitación y API</x:v>
      </x:c>
      <x:c r="D15" s="27" t="str">
        <x:v>UF 0,039-0,09 por persona; mínimos UF 4-7</x:v>
      </x:c>
      <x:c r="E15" s="27" t="str">
        <x:v>Por colaborador + mínimo mensual</x:v>
      </x:c>
      <x:c r="F15" s="36" t="n">
        <x:v>5</x:v>
      </x:c>
      <x:c r="G15" s="36" t="n">
        <x:v>17</x:v>
      </x:c>
      <x:c r="H15" s="27" t="str">
        <x:v>Referente de monetización por colaborador</x:v>
      </x:c>
      <x:c r="I15" s="27" t="str">
        <x:v>https://rexmas.com/precios/</x:v>
      </x:c>
    </x:row>
    <x:row r="16" ht="38" customHeight="1">
      <x:c r="A16" s="28" t="str">
        <x:v>Buk</x:v>
      </x:c>
      <x:c r="B16" s="28" t="str">
        <x:v>RR.HH. y finanzas</x:v>
      </x:c>
      <x:c r="C16" s="28" t="str">
        <x:v>Ficha, documentos, firma, asistencia, remuneraciones, capacitación y reportes</x:v>
      </x:c>
      <x:c r="D16" s="28" t="str">
        <x:v>Calculadora; precio variable no visible en fuente</x:v>
      </x:c>
      <x:c r="E16" s="28" t="str">
        <x:v>Mensual por colaboradores vigentes y módulos</x:v>
      </x:c>
      <x:c r="F16" s="37" t="n">
        <x:v>5</x:v>
      </x:c>
      <x:c r="G16" s="37" t="n">
        <x:v>17</x:v>
      </x:c>
      <x:c r="H16" s="28" t="str">
        <x:v>Suite RR.HH. madura y modular</x:v>
      </x:c>
      <x:c r="I16" s="28" t="str">
        <x:v>https://www.buk.cl/precios</x:v>
      </x:c>
    </x:row>
  </x:sheetData>
  <x:mergeCells>
    <x:mergeCell ref="A1:I1"/>
    <x:mergeCell ref="A2:I2"/>
  </x:mergeCells>
  <x:conditionalFormatting sqref="G5:G16">
    <x:cfRule type="dataBar" priority="1">
      <x:dataBar>
        <x:cfvo type="min"/>
        <x:cfvo type="max"/>
        <x:color rgb="FF35B8E0"/>
      </x:dataBar>
      <x:extLst>
        <x:ext xmlns:x14="http://schemas.microsoft.com/office/spreadsheetml/2009/9/main" uri="{B025F937-C7B1-47D3-B67F-A62EFF666E3E}">
          <x14:id>{41935042-CE53-6126-1B35-F292853F74D3}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1935042-CE53-6126-1B35-F292853F74D3}">
            <x14:dataBar gradient="1">
              <x14:cfvo type="min"/>
              <x14:cfvo type="max"/>
              <x14:fillColor rgb="FF35B8E0"/>
            </x14:dataBar>
          </x14:cfRule>
          <xm:sqref>G5:G16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0" hidden="0" customWidth="1"/>
    <x:col min="3" max="3" width="20" hidden="0" customWidth="1"/>
    <x:col min="4" max="4" width="22" hidden="0" customWidth="1"/>
    <x:col min="5" max="5" width="27" hidden="0" customWidth="1"/>
    <x:col min="6" max="6" width="22" hidden="0" customWidth="1"/>
    <x:col min="7" max="7" width="37" hidden="0" customWidth="1"/>
    <x:col min="8" max="8" width="45" hidden="0" customWidth="1"/>
  </x:cols>
  <x:sheetData>
    <x:row r="1" ht="32" customHeight="1">
      <x:c r="A1" s="3" t="str">
        <x:v>Precios y formas de cobro observadas</x:v>
      </x:c>
      <x:c r="B1" s="3"/>
      <x:c r="C1" s="3"/>
      <x:c r="D1" s="3"/>
      <x:c r="E1" s="3"/>
      <x:c r="F1" s="3"/>
      <x:c r="G1" s="3"/>
      <x:c r="H1" s="3"/>
    </x:row>
    <x:row r="2" ht="26" customHeight="1">
      <x:c r="A2" s="7" t="str">
        <x:v>Solo ASTA y Rex+ publican valores directamente comparables. Los demás requieren cotización. UF al 06-07-2026: $40.836,63.</x:v>
      </x:c>
      <x:c r="B2" s="7"/>
      <x:c r="C2" s="7"/>
      <x:c r="D2" s="7"/>
      <x:c r="E2" s="7"/>
      <x:c r="F2" s="7"/>
      <x:c r="G2" s="7"/>
      <x:c r="H2" s="7"/>
    </x:row>
    <x:row r="4">
      <x:c r="A4" s="16" t="str">
        <x:v>Proveedor</x:v>
      </x:c>
      <x:c r="B4" s="17" t="str">
        <x:v>Producto / plan</x:v>
      </x:c>
      <x:c r="C4" s="17" t="str">
        <x:v>Precio publicado</x:v>
      </x:c>
      <x:c r="D4" s="17" t="str">
        <x:v>Equivalente CLP</x:v>
      </x:c>
      <x:c r="E4" s="17" t="str">
        <x:v>Unidad de cobro</x:v>
      </x:c>
      <x:c r="F4" s="17" t="str">
        <x:v>Implementación</x:v>
      </x:c>
      <x:c r="G4" s="17" t="str">
        <x:v>Descuento / condición</x:v>
      </x:c>
      <x:c r="H4" s="18" t="str">
        <x:v>Fuente</x:v>
      </x:c>
    </x:row>
    <x:row r="5">
      <x:c r="A5" s="26" t="str">
        <x:v>ASTA</x:v>
      </x:c>
      <x:c r="B5" s="26" t="str">
        <x:v>Starter</x:v>
      </x:c>
      <x:c r="C5" s="38" t="n">
        <x:v>29900</x:v>
      </x:c>
      <x:c r="D5" s="38" t="n">
        <x:v>29900</x:v>
      </x:c>
      <x:c r="E5" s="26" t="str">
        <x:v>Por empresa/mes</x:v>
      </x:c>
      <x:c r="F5" s="26" t="str">
        <x:v>No informada</x:v>
      </x:c>
      <x:c r="G5" s="26" t="str">
        <x:v>Anual $299.000 (-17%)</x:v>
      </x:c>
      <x:c r="H5" s="26" t="str">
        <x:v>https://www.asta.cl/</x:v>
      </x:c>
    </x:row>
    <x:row r="6">
      <x:c r="A6" s="27" t="str">
        <x:v>ASTA</x:v>
      </x:c>
      <x:c r="B6" s="27" t="str">
        <x:v>Professional</x:v>
      </x:c>
      <x:c r="C6" s="39" t="n">
        <x:v>89900</x:v>
      </x:c>
      <x:c r="D6" s="39" t="n">
        <x:v>89900</x:v>
      </x:c>
      <x:c r="E6" s="27" t="str">
        <x:v>Por empresa/mes</x:v>
      </x:c>
      <x:c r="F6" s="27" t="str">
        <x:v>No informada</x:v>
      </x:c>
      <x:c r="G6" s="27" t="str">
        <x:v>Anual $899.000 (-17%)</x:v>
      </x:c>
      <x:c r="H6" s="27" t="str">
        <x:v>https://www.asta.cl/</x:v>
      </x:c>
    </x:row>
    <x:row r="7">
      <x:c r="A7" s="27" t="str">
        <x:v>ASTA</x:v>
      </x:c>
      <x:c r="B7" s="27" t="str">
        <x:v>Enterprise</x:v>
      </x:c>
      <x:c r="C7" s="39" t="n">
        <x:v>249900</x:v>
      </x:c>
      <x:c r="D7" s="39" t="n">
        <x:v>249900</x:v>
      </x:c>
      <x:c r="E7" s="27" t="str">
        <x:v>Por empresa/mes</x:v>
      </x:c>
      <x:c r="F7" s="27" t="str">
        <x:v>No informada</x:v>
      </x:c>
      <x:c r="G7" s="27" t="str">
        <x:v>Anual $2.499.000 (-17%)</x:v>
      </x:c>
      <x:c r="H7" s="27" t="str">
        <x:v>https://www.asta.cl/</x:v>
      </x:c>
    </x:row>
    <x:row r="8">
      <x:c r="A8" s="27" t="str">
        <x:v>Rex+</x:v>
      </x:c>
      <x:c r="B8" s="27" t="str">
        <x:v>Remuneraciones + personas</x:v>
      </x:c>
      <x:c r="C8" s="39" t="n">
        <x:v>0.039</x:v>
      </x:c>
      <x:c r="D8" s="39" t="n">
        <x:f>C8*'Supuestos'!$B$5</x:f>
        <x:v>1592.6285699999999</x:v>
      </x:c>
      <x:c r="E8" s="27" t="str">
        <x:v>UF por colaborador</x:v>
      </x:c>
      <x:c r="F8" s="27" t="str">
        <x:v>Cotización</x:v>
      </x:c>
      <x:c r="G8" s="27" t="str">
        <x:v>Mínimo 4 UF</x:v>
      </x:c>
      <x:c r="H8" s="27" t="str">
        <x:v>https://rexmas.com/precios/</x:v>
      </x:c>
    </x:row>
    <x:row r="9">
      <x:c r="A9" s="27" t="str">
        <x:v>Rex+</x:v>
      </x:c>
      <x:c r="B9" s="27" t="str">
        <x:v>Control asistencia</x:v>
      </x:c>
      <x:c r="C9" s="39" t="n">
        <x:v>0.025</x:v>
      </x:c>
      <x:c r="D9" s="39" t="n">
        <x:f>C9*'Supuestos'!$B$5</x:f>
        <x:v>1020.91575</x:v>
      </x:c>
      <x:c r="E9" s="27" t="str">
        <x:v>UF por colaborador</x:v>
      </x:c>
      <x:c r="F9" s="27" t="str">
        <x:v>Cotización</x:v>
      </x:c>
      <x:c r="G9" s="27" t="str">
        <x:v>Mínimo 4 UF</x:v>
      </x:c>
      <x:c r="H9" s="27" t="str">
        <x:v>https://rexmas.com/precios/</x:v>
      </x:c>
    </x:row>
    <x:row r="10">
      <x:c r="A10" s="27" t="str">
        <x:v>Rex+</x:v>
      </x:c>
      <x:c r="B10" s="27" t="str">
        <x:v>Ecosistema completo</x:v>
      </x:c>
      <x:c r="C10" s="39" t="n">
        <x:v>0.09</x:v>
      </x:c>
      <x:c r="D10" s="39" t="n">
        <x:f>C10*'Supuestos'!$B$5</x:f>
        <x:v>3675.2966999999994</x:v>
      </x:c>
      <x:c r="E10" s="27" t="str">
        <x:v>UF por colaborador</x:v>
      </x:c>
      <x:c r="F10" s="27" t="str">
        <x:v>Cotización</x:v>
      </x:c>
      <x:c r="G10" s="27" t="str">
        <x:v>Mínimo 7 UF</x:v>
      </x:c>
      <x:c r="H10" s="27" t="str">
        <x:v>https://rexmas.com/precios/</x:v>
      </x:c>
    </x:row>
    <x:row r="11">
      <x:c r="A11" s="27" t="str">
        <x:v>Buk</x:v>
      </x:c>
      <x:c r="B11" s="27" t="str">
        <x:v>Plan modular</x:v>
      </x:c>
      <x:c r="C11" s="39"/>
      <x:c r="D11" s="39"/>
      <x:c r="E11" s="27" t="str">
        <x:v>Por colaborador vigente/mes</x:v>
      </x:c>
      <x:c r="F11" s="27" t="str">
        <x:v>Incluida según sitio</x:v>
      </x:c>
      <x:c r="G11" s="27" t="str">
        <x:v>Precio baja por volumen; valor no publicado</x:v>
      </x:c>
      <x:c r="H11" s="27" t="str">
        <x:v>https://www.buk.cl/precios</x:v>
      </x:c>
    </x:row>
    <x:row r="12">
      <x:c r="A12" s="28" t="str">
        <x:v>Especialistas mineros</x:v>
      </x:c>
      <x:c r="B12" s="28" t="str">
        <x:v>Workmate, Krew, Worku, Vigenty, SmartCheck</x:v>
      </x:c>
      <x:c r="C12" s="40"/>
      <x:c r="D12" s="40"/>
      <x:c r="E12" s="28" t="str">
        <x:v>Cotización por alcance/dotación/módulos</x:v>
      </x:c>
      <x:c r="F12" s="28" t="str">
        <x:v>Normalmente proyecto</x:v>
      </x:c>
      <x:c r="G12" s="28" t="str">
        <x:v>Precio no publicado</x:v>
      </x:c>
      <x:c r="H12" s="28" t="str">
        <x:v>Ver hoja Fuentes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22" hidden="0" customWidth="1"/>
    <x:col min="4" max="4" width="18" hidden="0" customWidth="1"/>
    <x:col min="5" max="5" width="18" hidden="0" customWidth="1"/>
    <x:col min="6" max="6" width="54" hidden="0" customWidth="1"/>
    <x:col min="7" max="7" width="22" hidden="0" customWidth="1"/>
    <x:col min="8" max="8" width="26" hidden="0" customWidth="1"/>
    <x:col min="9" max="9" width="70" hidden="0" customWidth="1"/>
  </x:cols>
  <x:sheetData>
    <x:row r="1" ht="32" customHeight="1">
      <x:c r="A1" s="3" t="str">
        <x:v>Plan recomendado de precios Domian Nexo</x:v>
      </x:c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7" t="str">
        <x:v>Precios de lista sin IVA. La implementación evita financiar migración, configuración y capacitación con la mensualidad.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6" t="str">
        <x:v>Plan</x:v>
      </x:c>
      <x:c r="B4" s="17" t="str">
        <x:v>Cliente objetivo</x:v>
      </x:c>
      <x:c r="C4" s="17" t="str">
        <x:v>Trabajadores activos</x:v>
      </x:c>
      <x:c r="D4" s="17" t="str">
        <x:v>Usuarios</x:v>
      </x:c>
      <x:c r="E4" s="17" t="str">
        <x:v>Clientes/faenas</x:v>
      </x:c>
      <x:c r="F4" s="17" t="str">
        <x:v>Mensual CLP</x:v>
      </x:c>
      <x:c r="G4" s="17" t="str">
        <x:v>Implementación CLP</x:v>
      </x:c>
      <x:c r="H4" s="17" t="str">
        <x:v>Anual prepago</x:v>
      </x:c>
      <x:c r="I4" s="18" t="str">
        <x:v>Incluye</x:v>
      </x:c>
    </x:row>
    <x:row r="5" ht="36" customHeight="1">
      <x:c r="A5" s="26" t="str">
        <x:v>Esencial</x:v>
      </x:c>
      <x:c r="B5" s="26" t="str">
        <x:v>Contratista pequeña</x:v>
      </x:c>
      <x:c r="C5" s="26" t="str">
        <x:v>Hasta 50</x:v>
      </x:c>
      <x:c r="D5" s="26" t="str">
        <x:v>5</x:v>
      </x:c>
      <x:c r="E5" s="26" t="str">
        <x:v>1</x:v>
      </x:c>
      <x:c r="F5" s="32" t="n">
        <x:v>149000</x:v>
      </x:c>
      <x:c r="G5" s="32" t="n">
        <x:v>390000</x:v>
      </x:c>
      <x:c r="H5" s="32" t="n">
        <x:v>1519800</x:v>
      </x:c>
      <x:c r="I5" s="26" t="str">
        <x:v>Personas, documentos, alertas, contratos y servicios</x:v>
      </x:c>
    </x:row>
    <x:row r="6" ht="36" customHeight="1">
      <x:c r="A6" s="27" t="str">
        <x:v>Profesional</x:v>
      </x:c>
      <x:c r="B6" s="27" t="str">
        <x:v>Contratista en crecimiento</x:v>
      </x:c>
      <x:c r="C6" s="27" t="str">
        <x:v>Hasta 200</x:v>
      </x:c>
      <x:c r="D6" s="27" t="str">
        <x:v>15</x:v>
      </x:c>
      <x:c r="E6" s="27" t="str">
        <x:v>5</x:v>
      </x:c>
      <x:c r="F6" s="33" t="n">
        <x:v>349000</x:v>
      </x:c>
      <x:c r="G6" s="33" t="n">
        <x:v>890000</x:v>
      </x:c>
      <x:c r="H6" s="33" t="n">
        <x:v>3559800</x:v>
      </x:c>
      <x:c r="I6" s="27" t="str">
        <x:v>Todo Esencial + EPP, vehículos, turnos, hotelería, reportes y WA</x:v>
      </x:c>
    </x:row>
    <x:row r="7" ht="36" customHeight="1">
      <x:c r="A7" s="27" t="str">
        <x:v>Business</x:v>
      </x:c>
      <x:c r="B7" s="27" t="str">
        <x:v>Operación multifaena</x:v>
      </x:c>
      <x:c r="C7" s="27" t="str">
        <x:v>Hasta 500</x:v>
      </x:c>
      <x:c r="D7" s="27" t="str">
        <x:v>40</x:v>
      </x:c>
      <x:c r="E7" s="27" t="str">
        <x:v>15</x:v>
      </x:c>
      <x:c r="F7" s="33" t="n">
        <x:v>699000</x:v>
      </x:c>
      <x:c r="G7" s="33" t="n">
        <x:v>1790000</x:v>
      </x:c>
      <x:c r="H7" s="33" t="n">
        <x:v>7129800</x:v>
      </x:c>
      <x:c r="I7" s="27" t="str">
        <x:v>Todo Profesional + portal mandante, subcontratos, API y soporte prioritario</x:v>
      </x:c>
    </x:row>
    <x:row r="8" ht="36" customHeight="1">
      <x:c r="A8" s="28" t="str">
        <x:v>Enterprise</x:v>
      </x:c>
      <x:c r="B8" s="28" t="str">
        <x:v>Mandante o gran contratista</x:v>
      </x:c>
      <x:c r="C8" s="28" t="str">
        <x:v>A medida</x:v>
      </x:c>
      <x:c r="D8" s="28" t="str">
        <x:v>Ilimitados</x:v>
      </x:c>
      <x:c r="E8" s="28" t="str">
        <x:v>Ilimitados</x:v>
      </x:c>
      <x:c r="F8" s="34" t="n">
        <x:v>1490000</x:v>
      </x:c>
      <x:c r="G8" s="34" t="n">
        <x:v>3500000</x:v>
      </x:c>
      <x:c r="H8" s="34" t="n">
        <x:v>15198000</x:v>
      </x:c>
      <x:c r="I8" s="28" t="str">
        <x:v>SSO/MFA, integraciones, SLA, ambiente dedicado y soporte ejecutivo</x:v>
      </x:c>
    </x:row>
    <x:row r="11">
      <x:c r="A11" s="16" t="str">
        <x:v>Adicional</x:v>
      </x:c>
      <x:c r="B11" s="17" t="str">
        <x:v>Precio sugerido</x:v>
      </x:c>
      <x:c r="C11" s="17" t="str">
        <x:v>Unidad</x:v>
      </x:c>
      <x:c r="D11" s="17" t="str">
        <x:v>Costo variable</x:v>
      </x:c>
      <x:c r="E11" s="17" t="str">
        <x:v>Margen objetivo</x:v>
      </x:c>
      <x:c r="F11" s="18" t="str">
        <x:v>Regla comercial</x:v>
      </x:c>
    </x:row>
    <x:row r="12">
      <x:c r="A12" s="26" t="str">
        <x:v>OCR / validación inteligente</x:v>
      </x:c>
      <x:c r="B12" s="32" t="n">
        <x:v>199000</x:v>
      </x:c>
      <x:c r="C12" s="26" t="str">
        <x:v>Por empresa/mes</x:v>
      </x:c>
      <x:c r="D12" s="26" t="n">
        <x:v>50000</x:v>
      </x:c>
      <x:c r="E12" s="41" t="n">
        <x:v>0.75</x:v>
      </x:c>
      <x:c r="F12" s="26" t="str">
        <x:v>Incluye bolsa; excedente $250/documento</x:v>
      </x:c>
    </x:row>
    <x:row r="13">
      <x:c r="A13" s="27" t="str">
        <x:v>Portal mandante adicional</x:v>
      </x:c>
      <x:c r="B13" s="33" t="n">
        <x:v>99000</x:v>
      </x:c>
      <x:c r="C13" s="27" t="str">
        <x:v>Por portal/mes</x:v>
      </x:c>
      <x:c r="D13" s="27" t="n">
        <x:v>15000</x:v>
      </x:c>
      <x:c r="E13" s="42" t="n">
        <x:v>0.85</x:v>
      </x:c>
      <x:c r="F13" s="27" t="str">
        <x:v>Incluido desde Business</x:v>
      </x:c>
    </x:row>
    <x:row r="14">
      <x:c r="A14" s="27" t="str">
        <x:v>Almacenamiento adicional</x:v>
      </x:c>
      <x:c r="B14" s="33" t="n">
        <x:v>49000</x:v>
      </x:c>
      <x:c r="C14" s="27" t="str">
        <x:v>Por 100 GB/mes</x:v>
      </x:c>
      <x:c r="D14" s="27" t="n">
        <x:v>12000</x:v>
      </x:c>
      <x:c r="E14" s="42" t="n">
        <x:v>0.75</x:v>
      </x:c>
      <x:c r="F14" s="27" t="str">
        <x:v>Archivos históricos y evidencia</x:v>
      </x:c>
    </x:row>
    <x:row r="15">
      <x:c r="A15" s="27" t="str">
        <x:v>Firma electrónica</x:v>
      </x:c>
      <x:c r="B15" s="33" t="str">
        <x:v>Costo + 25%</x:v>
      </x:c>
      <x:c r="C15" s="27" t="str">
        <x:v>Por transacción</x:v>
      </x:c>
      <x:c r="D15" s="27" t="n">
        <x:v>0</x:v>
      </x:c>
      <x:c r="E15" s="42" t="n">
        <x:v>0.25</x:v>
      </x:c>
      <x:c r="F15" s="27" t="str">
        <x:v>Traspasar costo del proveedor</x:v>
      </x:c>
    </x:row>
    <x:row r="16">
      <x:c r="A16" s="27" t="str">
        <x:v>WhatsApp oficial</x:v>
      </x:c>
      <x:c r="B16" s="33" t="str">
        <x:v>Costo + 20%</x:v>
      </x:c>
      <x:c r="C16" s="27" t="str">
        <x:v>Por conversación</x:v>
      </x:c>
      <x:c r="D16" s="27" t="n">
        <x:v>0</x:v>
      </x:c>
      <x:c r="E16" s="42" t="n">
        <x:v>0.2</x:v>
      </x:c>
      <x:c r="F16" s="27" t="str">
        <x:v>Traspasar tarifa Meta/proveedor</x:v>
      </x:c>
    </x:row>
    <x:row r="17">
      <x:c r="A17" s="28" t="str">
        <x:v>Migración / consultoría</x:v>
      </x:c>
      <x:c r="B17" s="34" t="n">
        <x:v>650000</x:v>
      </x:c>
      <x:c r="C17" s="28" t="str">
        <x:v>Por jornada</x:v>
      </x:c>
      <x:c r="D17" s="28" t="n">
        <x:v>250000</x:v>
      </x:c>
      <x:c r="E17" s="43" t="n">
        <x:v>0.62</x:v>
      </x:c>
      <x:c r="F17" s="28" t="str">
        <x:v>Fuera del onboarding estándar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0" hidden="0" customWidth="1"/>
    <x:col min="4" max="4" width="32" hidden="0" customWidth="1"/>
    <x:col min="5" max="5" width="22" hidden="0" customWidth="1"/>
  </x:cols>
  <x:sheetData>
    <x:row r="1" ht="32" customHeight="1">
      <x:c r="A1" s="3" t="str">
        <x:v>Supuestos editables del modelo</x:v>
      </x:c>
      <x:c r="B1" s="3"/>
      <x:c r="C1" s="3"/>
      <x:c r="D1" s="3"/>
    </x:row>
    <x:row r="2" ht="26" customHeight="1">
      <x:c r="A2" s="7" t="str">
        <x:v>Celdas amarillas son entradas. Las proyecciones se actualizan automáticamente. No constituyen garantía de venta.</x:v>
      </x:c>
      <x:c r="B2" s="7"/>
      <x:c r="C2" s="7"/>
      <x:c r="D2" s="7"/>
    </x:row>
    <x:row r="4">
      <x:c r="A4" s="16" t="str">
        <x:v>Variable</x:v>
      </x:c>
      <x:c r="B4" s="18" t="str">
        <x:v>Valor</x:v>
      </x:c>
      <x:c r="D4" s="16" t="str">
        <x:v>Métrica derivada</x:v>
      </x:c>
      <x:c r="E4" s="18" t="str">
        <x:v>Fórmula</x:v>
      </x:c>
    </x:row>
    <x:row r="5">
      <x:c r="A5" s="26" t="str">
        <x:v>UF CLP al 06-07-2026</x:v>
      </x:c>
      <x:c r="B5" s="44" t="n">
        <x:v>40836.63</x:v>
      </x:c>
      <x:c r="D5" s="26" t="str">
        <x:v>ARPA mensual ponderado</x:v>
      </x:c>
      <x:c r="E5" s="32" t="n">
        <x:f>SUMPRODUCT(B6:B9,B10:B13)</x:f>
        <x:v>335230</x:v>
      </x:c>
    </x:row>
    <x:row r="6">
      <x:c r="A6" s="27" t="str">
        <x:v>Mix Esencial</x:v>
      </x:c>
      <x:c r="B6" s="47" t="n">
        <x:v>0.45</x:v>
      </x:c>
      <x:c r="D6" s="28" t="str">
        <x:v>Setup ponderado</x:v>
      </x:c>
      <x:c r="E6" s="34" t="n">
        <x:f>SUMPRODUCT(B6:B9,B14:B17)</x:f>
        <x:v>851300</x:v>
      </x:c>
    </x:row>
    <x:row r="7">
      <x:c r="A7" s="27" t="str">
        <x:v>Mix Profesional</x:v>
      </x:c>
      <x:c r="B7" s="47" t="n">
        <x:v>0.4</x:v>
      </x:c>
    </x:row>
    <x:row r="8">
      <x:c r="A8" s="27" t="str">
        <x:v>Mix Business</x:v>
      </x:c>
      <x:c r="B8" s="47" t="n">
        <x:v>0.12</x:v>
      </x:c>
    </x:row>
    <x:row r="9">
      <x:c r="A9" s="27" t="str">
        <x:v>Mix Enterprise</x:v>
      </x:c>
      <x:c r="B9" s="47" t="n">
        <x:v>0.03</x:v>
      </x:c>
    </x:row>
    <x:row r="10">
      <x:c r="A10" s="27" t="str">
        <x:v>Precio Esencial</x:v>
      </x:c>
      <x:c r="B10" s="50" t="n">
        <x:v>149000</x:v>
      </x:c>
    </x:row>
    <x:row r="11">
      <x:c r="A11" s="27" t="str">
        <x:v>Precio Profesional</x:v>
      </x:c>
      <x:c r="B11" s="50" t="n">
        <x:v>349000</x:v>
      </x:c>
    </x:row>
    <x:row r="12">
      <x:c r="A12" s="27" t="str">
        <x:v>Precio Business</x:v>
      </x:c>
      <x:c r="B12" s="50" t="n">
        <x:v>699000</x:v>
      </x:c>
    </x:row>
    <x:row r="13">
      <x:c r="A13" s="27" t="str">
        <x:v>Precio Enterprise</x:v>
      </x:c>
      <x:c r="B13" s="50" t="n">
        <x:v>1490000</x:v>
      </x:c>
    </x:row>
    <x:row r="14">
      <x:c r="A14" s="27" t="str">
        <x:v>Setup Esencial</x:v>
      </x:c>
      <x:c r="B14" s="50" t="n">
        <x:v>390000</x:v>
      </x:c>
    </x:row>
    <x:row r="15">
      <x:c r="A15" s="27" t="str">
        <x:v>Setup Profesional</x:v>
      </x:c>
      <x:c r="B15" s="50" t="n">
        <x:v>890000</x:v>
      </x:c>
    </x:row>
    <x:row r="16">
      <x:c r="A16" s="27" t="str">
        <x:v>Setup Business</x:v>
      </x:c>
      <x:c r="B16" s="50" t="n">
        <x:v>1790000</x:v>
      </x:c>
    </x:row>
    <x:row r="17">
      <x:c r="A17" s="27" t="str">
        <x:v>Setup Enterprise</x:v>
      </x:c>
      <x:c r="B17" s="50" t="n">
        <x:v>3500000</x:v>
      </x:c>
    </x:row>
    <x:row r="18">
      <x:c r="A18" s="27" t="str">
        <x:v>COGS sobre ingresos</x:v>
      </x:c>
      <x:c r="B18" s="45" t="n">
        <x:v>0.18</x:v>
      </x:c>
    </x:row>
    <x:row r="19">
      <x:c r="A19" s="27" t="str">
        <x:v>Churn mensual conservador</x:v>
      </x:c>
      <x:c r="B19" s="48" t="n">
        <x:v>0.015</x:v>
      </x:c>
    </x:row>
    <x:row r="20">
      <x:c r="A20" s="27" t="str">
        <x:v>Churn mensual base</x:v>
      </x:c>
      <x:c r="B20" s="48" t="n">
        <x:v>0.01</x:v>
      </x:c>
    </x:row>
    <x:row r="21">
      <x:c r="A21" s="27" t="str">
        <x:v>Churn mensual agresivo</x:v>
      </x:c>
      <x:c r="B21" s="48" t="n">
        <x:v>0.007</x:v>
      </x:c>
    </x:row>
    <x:row r="22">
      <x:c r="A22" s="28" t="str">
        <x:v>Descuento anual</x:v>
      </x:c>
      <x:c r="B22" s="49" t="n">
        <x:v>0.15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14" hidden="0" customWidth="1"/>
    <x:col min="4" max="4" width="14" hidden="0" customWidth="1"/>
    <x:col min="5" max="5" width="18" hidden="0" customWidth="1"/>
    <x:col min="6" max="6" width="17" hidden="0" customWidth="1"/>
    <x:col min="7" max="7" width="14" hidden="0" customWidth="1"/>
    <x:col min="8" max="8" width="14" hidden="0" customWidth="1"/>
    <x:col min="9" max="9" width="17" hidden="0" customWidth="1"/>
    <x:col min="10" max="10" width="16" hidden="0" customWidth="1"/>
    <x:col min="11" max="11" width="18" hidden="0" customWidth="1"/>
    <x:col min="12" max="12" width="16" hidden="0" customWidth="1"/>
    <x:col min="13" max="13" width="17" hidden="0" customWidth="1"/>
    <x:col min="14" max="14" width="17" hidden="0" customWidth="1"/>
    <x:col min="15" max="15" width="20" hidden="0" customWidth="1"/>
    <x:col min="16" max="16" width="14" hidden="0" customWidth="1"/>
    <x:col min="17" max="17" width="14" hidden="0" customWidth="1"/>
    <x:col min="18" max="18" width="18" hidden="0" customWidth="1"/>
    <x:col min="19" max="19" width="18" hidden="0" customWidth="1"/>
  </x:cols>
  <x:sheetData>
    <x:row r="1" ht="32" customHeight="1">
      <x:c r="A1" s="3" t="str">
        <x:v>Proyección comercial y financiera a 48 meses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6" customHeight="1">
      <x:c r="A2" s="7" t="str">
        <x:v>Escenarios conservador, base y agresivo. Ingresos incluyen suscripción y onboarding. OPEX base es editable por fase.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>
      <x:c r="A4" s="16" t="str">
        <x:v>Mes</x:v>
      </x:c>
      <x:c r="B4" s="17" t="str">
        <x:v>Fase</x:v>
      </x:c>
      <x:c r="C4" s="17" t="str">
        <x:v>Nuevos Cons.</x:v>
      </x:c>
      <x:c r="D4" s="17" t="str">
        <x:v>Activos Cons.</x:v>
      </x:c>
      <x:c r="E4" s="17" t="str">
        <x:v>Ingresos Cons.</x:v>
      </x:c>
      <x:c r="F4" s="17" t="str">
        <x:v>EBITDA Cons.</x:v>
      </x:c>
      <x:c r="G4" s="17" t="str">
        <x:v>Nuevos Base</x:v>
      </x:c>
      <x:c r="H4" s="17" t="str">
        <x:v>Activos Base</x:v>
      </x:c>
      <x:c r="I4" s="17" t="str">
        <x:v>MRR Base</x:v>
      </x:c>
      <x:c r="J4" s="17" t="str">
        <x:v>Setup Base</x:v>
      </x:c>
      <x:c r="K4" s="17" t="str">
        <x:v>Ingresos Base</x:v>
      </x:c>
      <x:c r="L4" s="17" t="str">
        <x:v>COGS Base</x:v>
      </x:c>
      <x:c r="M4" s="17" t="str">
        <x:v>OPEX Base</x:v>
      </x:c>
      <x:c r="N4" s="17" t="str">
        <x:v>EBITDA Base</x:v>
      </x:c>
      <x:c r="O4" s="17" t="str">
        <x:v>Ingresos Acum.</x:v>
      </x:c>
      <x:c r="P4" s="17" t="str">
        <x:v>Nuevos Agres.</x:v>
      </x:c>
      <x:c r="Q4" s="17" t="str">
        <x:v>Activos Agres.</x:v>
      </x:c>
      <x:c r="R4" s="17" t="str">
        <x:v>Ingresos Agres.</x:v>
      </x:c>
      <x:c r="S4" s="18" t="str">
        <x:v>EBITDA Agres.</x:v>
      </x:c>
    </x:row>
    <x:row r="5">
      <x:c r="A5" s="26" t="n">
        <x:v>1</x:v>
      </x:c>
      <x:c r="B5" s="26" t="str">
        <x:v>0-12</x:v>
      </x:c>
      <x:c r="C5" s="57" t="n">
        <x:v>0.5</x:v>
      </x:c>
      <x:c r="D5" s="29" t="n">
        <x:f>0*(1-'Supuestos'!$B$19)+C5</x:f>
        <x:v>0.5</x:v>
      </x:c>
      <x:c r="E5" s="32" t="n">
        <x:f>D5*'Supuestos'!$E$5+C5*'Supuestos'!$E$6</x:f>
        <x:v>593265</x:v>
      </x:c>
      <x:c r="F5" s="32" t="n">
        <x:f>E5*(1-'Supuestos'!$B$18)-M5</x:f>
        <x:v>-4713522.7</x:v>
      </x:c>
      <x:c r="G5" s="44" t="n">
        <x:v>1</x:v>
      </x:c>
      <x:c r="H5" s="29" t="n">
        <x:f>0*(1-'Supuestos'!$B$20)+G5</x:f>
        <x:v>1</x:v>
      </x:c>
      <x:c r="I5" s="32" t="n">
        <x:f>H5*'Supuestos'!$E$5</x:f>
        <x:v>335230</x:v>
      </x:c>
      <x:c r="J5" s="32" t="n">
        <x:f>G5*'Supuestos'!$E$6</x:f>
        <x:v>851300</x:v>
      </x:c>
      <x:c r="K5" s="32" t="n">
        <x:f>I5+J5</x:f>
        <x:v>1186530</x:v>
      </x:c>
      <x:c r="L5" s="32" t="n">
        <x:f>K5*'Supuestos'!$B$18</x:f>
        <x:v>213575.4</x:v>
      </x:c>
      <x:c r="M5" s="63" t="n">
        <x:v>5200000</x:v>
      </x:c>
      <x:c r="N5" s="32" t="n">
        <x:f>K5-L5-M5</x:f>
        <x:v>-4227045.4</x:v>
      </x:c>
      <x:c r="O5" s="32" t="n">
        <x:f>K5</x:f>
        <x:v>1186530</x:v>
      </x:c>
      <x:c r="P5" s="60" t="n">
        <x:v>1</x:v>
      </x:c>
      <x:c r="Q5" s="29" t="n">
        <x:f>0*(1-'Supuestos'!$B$21)+P5</x:f>
        <x:v>1</x:v>
      </x:c>
      <x:c r="R5" s="32" t="n">
        <x:f>Q5*'Supuestos'!$E$5+P5*'Supuestos'!$E$6</x:f>
        <x:v>1186530</x:v>
      </x:c>
      <x:c r="S5" s="32" t="n">
        <x:f>R5*(1-'Supuestos'!$B$18)-M5</x:f>
        <x:v>-4227045.4</x:v>
      </x:c>
    </x:row>
    <x:row r="6">
      <x:c r="A6" s="27" t="n">
        <x:v>2</x:v>
      </x:c>
      <x:c r="B6" s="27" t="str">
        <x:v>0-12</x:v>
      </x:c>
      <x:c r="C6" s="58" t="n">
        <x:v>0.5</x:v>
      </x:c>
      <x:c r="D6" s="30" t="n">
        <x:f>D5*(1-'Supuestos'!$B$19)+C6</x:f>
        <x:v>0.9924999999999999</x:v>
      </x:c>
      <x:c r="E6" s="33" t="n">
        <x:f>D6*'Supuestos'!$E$5+C6*'Supuestos'!$E$6</x:f>
        <x:v>758365.7749999999</x:v>
      </x:c>
      <x:c r="F6" s="33" t="n">
        <x:f>E6*(1-'Supuestos'!$B$18)-M6</x:f>
        <x:v>-4578140.0645</x:v>
      </x:c>
      <x:c r="G6" s="45" t="n">
        <x:v>1</x:v>
      </x:c>
      <x:c r="H6" s="30" t="n">
        <x:f>H5*(1-'Supuestos'!$B$20)+G6</x:f>
        <x:v>1.99</x:v>
      </x:c>
      <x:c r="I6" s="33" t="n">
        <x:f>H6*'Supuestos'!$E$5</x:f>
        <x:v>667107.7</x:v>
      </x:c>
      <x:c r="J6" s="33" t="n">
        <x:f>G6*'Supuestos'!$E$6</x:f>
        <x:v>851300</x:v>
      </x:c>
      <x:c r="K6" s="33" t="n">
        <x:f>I6+J6</x:f>
        <x:v>1518407.7</x:v>
      </x:c>
      <x:c r="L6" s="33" t="n">
        <x:f>K6*'Supuestos'!$B$18</x:f>
        <x:v>273313.386</x:v>
      </x:c>
      <x:c r="M6" s="50" t="n">
        <x:v>5200000</x:v>
      </x:c>
      <x:c r="N6" s="33" t="n">
        <x:f>K6-L6-M6</x:f>
        <x:v>-3954905.6859999998</x:v>
      </x:c>
      <x:c r="O6" s="33" t="n">
        <x:f>O5+K6</x:f>
        <x:v>2704937.7</x:v>
      </x:c>
      <x:c r="P6" s="61" t="n">
        <x:v>1</x:v>
      </x:c>
      <x:c r="Q6" s="30" t="n">
        <x:f>Q5*(1-'Supuestos'!$B$21)+P6</x:f>
        <x:v>1.9929999999999999</x:v>
      </x:c>
      <x:c r="R6" s="33" t="n">
        <x:f>Q6*'Supuestos'!$E$5+P6*'Supuestos'!$E$6</x:f>
        <x:v>1519413.3900000001</x:v>
      </x:c>
      <x:c r="S6" s="33" t="n">
        <x:f>R6*(1-'Supuestos'!$B$18)-M6</x:f>
        <x:v>-3954081.0202</x:v>
      </x:c>
    </x:row>
    <x:row r="7">
      <x:c r="A7" s="27" t="n">
        <x:v>3</x:v>
      </x:c>
      <x:c r="B7" s="27" t="str">
        <x:v>0-12</x:v>
      </x:c>
      <x:c r="C7" s="58" t="n">
        <x:v>0.5</x:v>
      </x:c>
      <x:c r="D7" s="30" t="n">
        <x:f>D6*(1-'Supuestos'!$B$19)+C7</x:f>
        <x:v>1.4776124999999998</x:v>
      </x:c>
      <x:c r="E7" s="33" t="n">
        <x:f>D7*'Supuestos'!$E$5+C7*'Supuestos'!$E$6</x:f>
        <x:v>920990.038375</x:v>
      </x:c>
      <x:c r="F7" s="33" t="n">
        <x:f>E7*(1-'Supuestos'!$B$18)-M7</x:f>
        <x:v>-4444788.1685325</x:v>
      </x:c>
      <x:c r="G7" s="45" t="n">
        <x:v>1</x:v>
      </x:c>
      <x:c r="H7" s="30" t="n">
        <x:f>H6*(1-'Supuestos'!$B$20)+G7</x:f>
        <x:v>2.9701</x:v>
      </x:c>
      <x:c r="I7" s="33" t="n">
        <x:f>H7*'Supuestos'!$E$5</x:f>
        <x:v>995666.623</x:v>
      </x:c>
      <x:c r="J7" s="33" t="n">
        <x:f>G7*'Supuestos'!$E$6</x:f>
        <x:v>851300</x:v>
      </x:c>
      <x:c r="K7" s="33" t="n">
        <x:f>I7+J7</x:f>
        <x:v>1846966.6230000001</x:v>
      </x:c>
      <x:c r="L7" s="33" t="n">
        <x:f>K7*'Supuestos'!$B$18</x:f>
        <x:v>332453.99214</x:v>
      </x:c>
      <x:c r="M7" s="50" t="n">
        <x:v>5200000</x:v>
      </x:c>
      <x:c r="N7" s="33" t="n">
        <x:f>K7-L7-M7</x:f>
        <x:v>-3685487.36914</x:v>
      </x:c>
      <x:c r="O7" s="33" t="n">
        <x:f>O6+K7</x:f>
        <x:v>4551904.323000001</x:v>
      </x:c>
      <x:c r="P7" s="61" t="n">
        <x:v>1</x:v>
      </x:c>
      <x:c r="Q7" s="30" t="n">
        <x:f>Q6*(1-'Supuestos'!$B$21)+P7</x:f>
        <x:v>2.979049</x:v>
      </x:c>
      <x:c r="R7" s="33" t="n">
        <x:f>Q7*'Supuestos'!$E$5+P7*'Supuestos'!$E$6</x:f>
        <x:v>1849966.59627</x:v>
      </x:c>
      <x:c r="S7" s="33" t="n">
        <x:f>R7*(1-'Supuestos'!$B$18)-M7</x:f>
        <x:v>-3683027.3910585996</x:v>
      </x:c>
    </x:row>
    <x:row r="8">
      <x:c r="A8" s="27" t="n">
        <x:v>4</x:v>
      </x:c>
      <x:c r="B8" s="27" t="str">
        <x:v>0-12</x:v>
      </x:c>
      <x:c r="C8" s="58" t="n">
        <x:v>0.5</x:v>
      </x:c>
      <x:c r="D8" s="30" t="n">
        <x:f>D7*(1-'Supuestos'!$B$19)+C8</x:f>
        <x:v>1.9554483124999997</x:v>
      </x:c>
      <x:c r="E8" s="33" t="n">
        <x:f>D8*'Supuestos'!$E$5+C8*'Supuestos'!$E$6</x:f>
        <x:v>1081174.937799375</x:v>
      </x:c>
      <x:c r="F8" s="33" t="n">
        <x:f>E8*(1-'Supuestos'!$B$18)-M8</x:f>
        <x:v>-4313436.551004512</x:v>
      </x:c>
      <x:c r="G8" s="45" t="n">
        <x:v>1</x:v>
      </x:c>
      <x:c r="H8" s="30" t="n">
        <x:f>H7*(1-'Supuestos'!$B$20)+G8</x:f>
        <x:v>3.9403989999999998</x:v>
      </x:c>
      <x:c r="I8" s="33" t="n">
        <x:f>H8*'Supuestos'!$E$5</x:f>
        <x:v>1320939.9567699998</x:v>
      </x:c>
      <x:c r="J8" s="33" t="n">
        <x:f>G8*'Supuestos'!$E$6</x:f>
        <x:v>851300</x:v>
      </x:c>
      <x:c r="K8" s="33" t="n">
        <x:f>I8+J8</x:f>
        <x:v>2172239.95677</x:v>
      </x:c>
      <x:c r="L8" s="33" t="n">
        <x:f>K8*'Supuestos'!$B$18</x:f>
        <x:v>391003.1922186</x:v>
      </x:c>
      <x:c r="M8" s="50" t="n">
        <x:v>5200000</x:v>
      </x:c>
      <x:c r="N8" s="33" t="n">
        <x:f>K8-L8-M8</x:f>
        <x:v>-3418763.2354486</x:v>
      </x:c>
      <x:c r="O8" s="33" t="n">
        <x:f>O7+K8</x:f>
        <x:v>6724144.279770001</x:v>
      </x:c>
      <x:c r="P8" s="61" t="n">
        <x:v>2</x:v>
      </x:c>
      <x:c r="Q8" s="30" t="n">
        <x:f>Q7*(1-'Supuestos'!$B$21)+P8</x:f>
        <x:v>4.958195656999999</x:v>
      </x:c>
      <x:c r="R8" s="33" t="n">
        <x:f>Q8*'Supuestos'!$E$5+P8*'Supuestos'!$E$6</x:f>
        <x:v>3364735.9300961094</x:v>
      </x:c>
      <x:c r="S8" s="33" t="n">
        <x:f>R8*(1-'Supuestos'!$B$18)-M8</x:f>
        <x:v>-2440916.53732119</x:v>
      </x:c>
    </x:row>
    <x:row r="9">
      <x:c r="A9" s="27" t="n">
        <x:v>5</x:v>
      </x:c>
      <x:c r="B9" s="27" t="str">
        <x:v>0-12</x:v>
      </x:c>
      <x:c r="C9" s="58" t="n">
        <x:v>0.5</x:v>
      </x:c>
      <x:c r="D9" s="30" t="n">
        <x:f>D8*(1-'Supuestos'!$B$19)+C9</x:f>
        <x:v>2.4261165878124995</x:v>
      </x:c>
      <x:c r="E9" s="33" t="n">
        <x:f>D9*'Supuestos'!$E$5+C9*'Supuestos'!$E$6</x:f>
        <x:v>1238957.0637323842</x:v>
      </x:c>
      <x:c r="F9" s="33" t="n">
        <x:f>E9*(1-'Supuestos'!$B$18)-M9</x:f>
        <x:v>-4184055.207739445</x:v>
      </x:c>
      <x:c r="G9" s="45" t="n">
        <x:v>1</x:v>
      </x:c>
      <x:c r="H9" s="30" t="n">
        <x:f>H8*(1-'Supuestos'!$B$20)+G9</x:f>
        <x:v>4.90099501</x:v>
      </x:c>
      <x:c r="I9" s="33" t="n">
        <x:f>H9*'Supuestos'!$E$5</x:f>
        <x:v>1642960.5572023</x:v>
      </x:c>
      <x:c r="J9" s="33" t="n">
        <x:f>G9*'Supuestos'!$E$6</x:f>
        <x:v>851300</x:v>
      </x:c>
      <x:c r="K9" s="33" t="n">
        <x:f>I9+J9</x:f>
        <x:v>2494260.5572023</x:v>
      </x:c>
      <x:c r="L9" s="33" t="n">
        <x:f>K9*'Supuestos'!$B$18</x:f>
        <x:v>448966.900296414</x:v>
      </x:c>
      <x:c r="M9" s="50" t="n">
        <x:v>5200000</x:v>
      </x:c>
      <x:c r="N9" s="33" t="n">
        <x:f>K9-L9-M9</x:f>
        <x:v>-3154706.343094114</x:v>
      </x:c>
      <x:c r="O9" s="33" t="n">
        <x:f>O8+K9</x:f>
        <x:v>9218404.8369723</x:v>
      </x:c>
      <x:c r="P9" s="61" t="n">
        <x:v>2</x:v>
      </x:c>
      <x:c r="Q9" s="30" t="n">
        <x:f>Q8*(1-'Supuestos'!$B$21)+P9</x:f>
        <x:v>6.923488287400999</x:v>
      </x:c>
      <x:c r="R9" s="33" t="n">
        <x:f>Q9*'Supuestos'!$E$5+P9*'Supuestos'!$E$6</x:f>
        <x:v>4023560.978585437</x:v>
      </x:c>
      <x:c r="S9" s="33" t="n">
        <x:f>R9*(1-'Supuestos'!$B$18)-M9</x:f>
        <x:v>-1900679.9975599414</x:v>
      </x:c>
    </x:row>
    <x:row r="10">
      <x:c r="A10" s="27" t="n">
        <x:v>6</x:v>
      </x:c>
      <x:c r="B10" s="27" t="str">
        <x:v>0-12</x:v>
      </x:c>
      <x:c r="C10" s="58" t="n">
        <x:v>0.5</x:v>
      </x:c>
      <x:c r="D10" s="30" t="n">
        <x:f>D9*(1-'Supuestos'!$B$19)+C10</x:f>
        <x:v>2.889724838995312</x:v>
      </x:c>
      <x:c r="E10" s="33" t="n">
        <x:f>D10*'Supuestos'!$E$5+C10*'Supuestos'!$E$6</x:f>
        <x:v>1394372.4577763984</x:v>
      </x:c>
      <x:c r="F10" s="33" t="n">
        <x:f>E10*(1-'Supuestos'!$B$18)-M10</x:f>
        <x:v>-4056614.5846233536</x:v>
      </x:c>
      <x:c r="G10" s="45" t="n">
        <x:v>1</x:v>
      </x:c>
      <x:c r="H10" s="30" t="n">
        <x:f>H9*(1-'Supuestos'!$B$20)+G10</x:f>
        <x:v>5.8519850599</x:v>
      </x:c>
      <x:c r="I10" s="33" t="n">
        <x:f>H10*'Supuestos'!$E$5</x:f>
        <x:v>1961760.9516302769</x:v>
      </x:c>
      <x:c r="J10" s="33" t="n">
        <x:f>G10*'Supuestos'!$E$6</x:f>
        <x:v>851300</x:v>
      </x:c>
      <x:c r="K10" s="33" t="n">
        <x:f>I10+J10</x:f>
        <x:v>2813060.9516302766</x:v>
      </x:c>
      <x:c r="L10" s="33" t="n">
        <x:f>K10*'Supuestos'!$B$18</x:f>
        <x:v>506350.97129344975</x:v>
      </x:c>
      <x:c r="M10" s="50" t="n">
        <x:v>5200000</x:v>
      </x:c>
      <x:c r="N10" s="33" t="n">
        <x:f>K10-L10-M10</x:f>
        <x:v>-2893290.0196631732</x:v>
      </x:c>
      <x:c r="O10" s="33" t="n">
        <x:f>O9+K10</x:f>
        <x:v>12031465.788602576</x:v>
      </x:c>
      <x:c r="P10" s="61" t="n">
        <x:v>2</x:v>
      </x:c>
      <x:c r="Q10" s="30" t="n">
        <x:f>Q9*(1-'Supuestos'!$B$21)+P10</x:f>
        <x:v>8.875023869389192</x:v>
      </x:c>
      <x:c r="R10" s="33" t="n">
        <x:f>Q10*'Supuestos'!$E$5+P10*'Supuestos'!$E$6</x:f>
        <x:v>4677774.251735339</x:v>
      </x:c>
      <x:c r="S10" s="33" t="n">
        <x:f>R10*(1-'Supuestos'!$B$18)-M10</x:f>
        <x:v>-1364225.1135770218</x:v>
      </x:c>
    </x:row>
    <x:row r="11">
      <x:c r="A11" s="27" t="n">
        <x:v>7</x:v>
      </x:c>
      <x:c r="B11" s="27" t="str">
        <x:v>0-12</x:v>
      </x:c>
      <x:c r="C11" s="58" t="n">
        <x:v>1</x:v>
      </x:c>
      <x:c r="D11" s="30" t="n">
        <x:f>D10*(1-'Supuestos'!$B$19)+C11</x:f>
        <x:v>3.8463789664103825</x:v>
      </x:c>
      <x:c r="E11" s="33" t="n">
        <x:f>D11*'Supuestos'!$E$5+C11*'Supuestos'!$E$6</x:f>
        <x:v>2140721.6209097523</x:v>
      </x:c>
      <x:c r="F11" s="33" t="n">
        <x:f>E11*(1-'Supuestos'!$B$18)-M11</x:f>
        <x:v>-3444608.270854003</x:v>
      </x:c>
      <x:c r="G11" s="45" t="n">
        <x:v>2</x:v>
      </x:c>
      <x:c r="H11" s="30" t="n">
        <x:f>H10*(1-'Supuestos'!$B$20)+G11</x:f>
        <x:v>7.793465209301</x:v>
      </x:c>
      <x:c r="I11" s="33" t="n">
        <x:f>H11*'Supuestos'!$E$5</x:f>
        <x:v>2612603.342113974</x:v>
      </x:c>
      <x:c r="J11" s="33" t="n">
        <x:f>G11*'Supuestos'!$E$6</x:f>
        <x:v>1702600</x:v>
      </x:c>
      <x:c r="K11" s="33" t="n">
        <x:f>I11+J11</x:f>
        <x:v>4315203.342113974</x:v>
      </x:c>
      <x:c r="L11" s="33" t="n">
        <x:f>K11*'Supuestos'!$B$18</x:f>
        <x:v>776736.6015805153</x:v>
      </x:c>
      <x:c r="M11" s="50" t="n">
        <x:v>5200000</x:v>
      </x:c>
      <x:c r="N11" s="33" t="n">
        <x:f>K11-L11-M11</x:f>
        <x:v>-1661533.259466542</x:v>
      </x:c>
      <x:c r="O11" s="33" t="n">
        <x:f>O10+K11</x:f>
        <x:v>16346669.13071655</x:v>
      </x:c>
      <x:c r="P11" s="61" t="n">
        <x:v>3</x:v>
      </x:c>
      <x:c r="Q11" s="30" t="n">
        <x:f>Q10*(1-'Supuestos'!$B$21)+P11</x:f>
        <x:v>11.812898702303468</x:v>
      </x:c>
      <x:c r="R11" s="33" t="n">
        <x:f>Q11*'Supuestos'!$E$5+P11*'Supuestos'!$E$6</x:f>
        <x:v>6513938.031973192</x:v>
      </x:c>
      <x:c r="S11" s="33" t="n">
        <x:f>R11*(1-'Supuestos'!$B$18)-M11</x:f>
        <x:v>141429.1862180177</x:v>
      </x:c>
    </x:row>
    <x:row r="12">
      <x:c r="A12" s="27" t="n">
        <x:v>8</x:v>
      </x:c>
      <x:c r="B12" s="27" t="str">
        <x:v>0-12</x:v>
      </x:c>
      <x:c r="C12" s="58" t="n">
        <x:v>1</x:v>
      </x:c>
      <x:c r="D12" s="30" t="n">
        <x:f>D11*(1-'Supuestos'!$B$19)+C12</x:f>
        <x:v>4.788683281914227</x:v>
      </x:c>
      <x:c r="E12" s="33" t="n">
        <x:f>D12*'Supuestos'!$E$5+C12*'Supuestos'!$E$6</x:f>
        <x:v>2456610.296596106</x:v>
      </x:c>
      <x:c r="F12" s="33" t="n">
        <x:f>E12*(1-'Supuestos'!$B$18)-M12</x:f>
        <x:v>-3185579.556791193</x:v>
      </x:c>
      <x:c r="G12" s="45" t="n">
        <x:v>2</x:v>
      </x:c>
      <x:c r="H12" s="30" t="n">
        <x:f>H11*(1-'Supuestos'!$B$20)+G12</x:f>
        <x:v>9.715530557207991</x:v>
      </x:c>
      <x:c r="I12" s="33" t="n">
        <x:f>H12*'Supuestos'!$E$5</x:f>
        <x:v>3256937.308692835</x:v>
      </x:c>
      <x:c r="J12" s="33" t="n">
        <x:f>G12*'Supuestos'!$E$6</x:f>
        <x:v>1702600</x:v>
      </x:c>
      <x:c r="K12" s="33" t="n">
        <x:f>I12+J12</x:f>
        <x:v>4959537.308692835</x:v>
      </x:c>
      <x:c r="L12" s="33" t="n">
        <x:f>K12*'Supuestos'!$B$18</x:f>
        <x:v>892716.7155647103</x:v>
      </x:c>
      <x:c r="M12" s="50" t="n">
        <x:v>5200000</x:v>
      </x:c>
      <x:c r="N12" s="33" t="n">
        <x:f>K12-L12-M12</x:f>
        <x:v>-1133179.4068718748</x:v>
      </x:c>
      <x:c r="O12" s="33" t="n">
        <x:f>O11+K12</x:f>
        <x:v>21306206.439409383</x:v>
      </x:c>
      <x:c r="P12" s="61" t="n">
        <x:v>3</x:v>
      </x:c>
      <x:c r="Q12" s="30" t="n">
        <x:f>Q11*(1-'Supuestos'!$B$21)+P12</x:f>
        <x:v>14.730208411387343</x:v>
      </x:c>
      <x:c r="R12" s="33" t="n">
        <x:f>Q12*'Supuestos'!$E$5+P12*'Supuestos'!$E$6</x:f>
        <x:v>7491907.765749379</x:v>
      </x:c>
      <x:c r="S12" s="33" t="n">
        <x:f>R12*(1-'Supuestos'!$B$18)-M12</x:f>
        <x:v>943364.3679144913</x:v>
      </x:c>
    </x:row>
    <x:row r="13">
      <x:c r="A13" s="27" t="n">
        <x:v>9</x:v>
      </x:c>
      <x:c r="B13" s="27" t="str">
        <x:v>0-12</x:v>
      </x:c>
      <x:c r="C13" s="58" t="n">
        <x:v>1</x:v>
      </x:c>
      <x:c r="D13" s="30" t="n">
        <x:f>D12*(1-'Supuestos'!$B$19)+C13</x:f>
        <x:v>5.716853032685513</x:v>
      </x:c>
      <x:c r="E13" s="33" t="n">
        <x:f>D13*'Supuestos'!$E$5+C13*'Supuestos'!$E$6</x:f>
        <x:v>2767760.642147165</x:v>
      </x:c>
      <x:c r="F13" s="33" t="n">
        <x:f>E13*(1-'Supuestos'!$B$18)-M13</x:f>
        <x:v>-2930436.273439325</x:v>
      </x:c>
      <x:c r="G13" s="45" t="n">
        <x:v>2</x:v>
      </x:c>
      <x:c r="H13" s="30" t="n">
        <x:f>H12*(1-'Supuestos'!$B$20)+G13</x:f>
        <x:v>11.61837525163591</x:v>
      </x:c>
      <x:c r="I13" s="33" t="n">
        <x:f>H13*'Supuestos'!$E$5</x:f>
        <x:v>3894827.9356059064</x:v>
      </x:c>
      <x:c r="J13" s="33" t="n">
        <x:f>G13*'Supuestos'!$E$6</x:f>
        <x:v>1702600</x:v>
      </x:c>
      <x:c r="K13" s="33" t="n">
        <x:f>I13+J13</x:f>
        <x:v>5597427.935605906</x:v>
      </x:c>
      <x:c r="L13" s="33" t="n">
        <x:f>K13*'Supuestos'!$B$18</x:f>
        <x:v>1007537.028409063</x:v>
      </x:c>
      <x:c r="M13" s="50" t="n">
        <x:v>5200000</x:v>
      </x:c>
      <x:c r="N13" s="33" t="n">
        <x:f>K13-L13-M13</x:f>
        <x:v>-610109.0928031569</x:v>
      </x:c>
      <x:c r="O13" s="33" t="n">
        <x:f>O12+K13</x:f>
        <x:v>26903634.37501529</x:v>
      </x:c>
      <x:c r="P13" s="61" t="n">
        <x:v>3</x:v>
      </x:c>
      <x:c r="Q13" s="30" t="n">
        <x:f>Q12*(1-'Supuestos'!$B$21)+P13</x:f>
        <x:v>17.62709695250763</x:v>
      </x:c>
      <x:c r="R13" s="33" t="n">
        <x:f>Q13*'Supuestos'!$E$5+P13*'Supuestos'!$E$6</x:f>
        <x:v>8463031.711389134</x:v>
      </x:c>
      <x:c r="S13" s="33" t="n">
        <x:f>R13*(1-'Supuestos'!$B$18)-M13</x:f>
        <x:v>1739686.0033390904</x:v>
      </x:c>
    </x:row>
    <x:row r="14">
      <x:c r="A14" s="27" t="n">
        <x:v>10</x:v>
      </x:c>
      <x:c r="B14" s="27" t="str">
        <x:v>0-12</x:v>
      </x:c>
      <x:c r="C14" s="58" t="n">
        <x:v>1</x:v>
      </x:c>
      <x:c r="D14" s="30" t="n">
        <x:f>D13*(1-'Supuestos'!$B$19)+C14</x:f>
        <x:v>6.631100237195231</x:v>
      </x:c>
      <x:c r="E14" s="33" t="n">
        <x:f>D14*'Supuestos'!$E$5+C14*'Supuestos'!$E$6</x:f>
        <x:v>3074243.732514957</x:v>
      </x:c>
      <x:c r="F14" s="33" t="n">
        <x:f>E14*(1-'Supuestos'!$B$18)-M14</x:f>
        <x:v>-2679120.1393377353</x:v>
      </x:c>
      <x:c r="G14" s="45" t="n">
        <x:v>2</x:v>
      </x:c>
      <x:c r="H14" s="30" t="n">
        <x:f>H13*(1-'Supuestos'!$B$20)+G14</x:f>
        <x:v>13.50219149911955</x:v>
      </x:c>
      <x:c r="I14" s="33" t="n">
        <x:f>H14*'Supuestos'!$E$5</x:f>
        <x:v>4526339.656249847</x:v>
      </x:c>
      <x:c r="J14" s="33" t="n">
        <x:f>G14*'Supuestos'!$E$6</x:f>
        <x:v>1702600</x:v>
      </x:c>
      <x:c r="K14" s="33" t="n">
        <x:f>I14+J14</x:f>
        <x:v>6228939.656249847</x:v>
      </x:c>
      <x:c r="L14" s="33" t="n">
        <x:f>K14*'Supuestos'!$B$18</x:f>
        <x:v>1121209.1381249726</x:v>
      </x:c>
      <x:c r="M14" s="50" t="n">
        <x:v>5200000</x:v>
      </x:c>
      <x:c r="N14" s="33" t="n">
        <x:f>K14-L14-M14</x:f>
        <x:v>-92269.48187512532</x:v>
      </x:c>
      <x:c r="O14" s="33" t="n">
        <x:f>O13+K14</x:f>
        <x:v>33132574.031265136</x:v>
      </x:c>
      <x:c r="P14" s="61" t="n">
        <x:v>3</x:v>
      </x:c>
      <x:c r="Q14" s="30" t="n">
        <x:f>Q13*(1-'Supuestos'!$B$21)+P14</x:f>
        <x:v>20.503707273840078</x:v>
      </x:c>
      <x:c r="R14" s="33" t="n">
        <x:f>Q14*'Supuestos'!$E$5+P14*'Supuestos'!$E$6</x:f>
        <x:v>9427357.78940941</x:v>
      </x:c>
      <x:c r="S14" s="33" t="n">
        <x:f>R14*(1-'Supuestos'!$B$18)-M14</x:f>
        <x:v>2530433.3873157166</x:v>
      </x:c>
    </x:row>
    <x:row r="15">
      <x:c r="A15" s="27" t="n">
        <x:v>11</x:v>
      </x:c>
      <x:c r="B15" s="27" t="str">
        <x:v>0-12</x:v>
      </x:c>
      <x:c r="C15" s="58" t="n">
        <x:v>1</x:v>
      </x:c>
      <x:c r="D15" s="30" t="n">
        <x:f>D14*(1-'Supuestos'!$B$19)+C15</x:f>
        <x:v>7.531633733637302</x:v>
      </x:c>
      <x:c r="E15" s="33" t="n">
        <x:f>D15*'Supuestos'!$E$5+C15*'Supuestos'!$E$6</x:f>
        <x:v>3376129.576527233</x:v>
      </x:c>
      <x:c r="F15" s="33" t="n">
        <x:f>E15*(1-'Supuestos'!$B$18)-M15</x:f>
        <x:v>-2431573.747247669</x:v>
      </x:c>
      <x:c r="G15" s="45" t="n">
        <x:v>2</x:v>
      </x:c>
      <x:c r="H15" s="30" t="n">
        <x:f>H14*(1-'Supuestos'!$B$20)+G15</x:f>
        <x:v>15.367169584128355</x:v>
      </x:c>
      <x:c r="I15" s="33" t="n">
        <x:f>H15*'Supuestos'!$E$5</x:f>
        <x:v>5151536.259687348</x:v>
      </x:c>
      <x:c r="J15" s="33" t="n">
        <x:f>G15*'Supuestos'!$E$6</x:f>
        <x:v>1702600</x:v>
      </x:c>
      <x:c r="K15" s="33" t="n">
        <x:f>I15+J15</x:f>
        <x:v>6854136.259687348</x:v>
      </x:c>
      <x:c r="L15" s="33" t="n">
        <x:f>K15*'Supuestos'!$B$18</x:f>
        <x:v>1233744.5267437226</x:v>
      </x:c>
      <x:c r="M15" s="50" t="n">
        <x:v>5200000</x:v>
      </x:c>
      <x:c r="N15" s="33" t="n">
        <x:f>K15-L15-M15</x:f>
        <x:v>420391.7329436261</x:v>
      </x:c>
      <x:c r="O15" s="33" t="n">
        <x:f>O14+K15</x:f>
        <x:v>39986710.29095248</x:v>
      </x:c>
      <x:c r="P15" s="61" t="n">
        <x:v>3</x:v>
      </x:c>
      <x:c r="Q15" s="30" t="n">
        <x:f>Q14*(1-'Supuestos'!$B$21)+P15</x:f>
        <x:v>23.360181322923196</x:v>
      </x:c>
      <x:c r="R15" s="33" t="n">
        <x:f>Q15*'Supuestos'!$E$5+P15*'Supuestos'!$E$6</x:f>
        <x:v>10384933.584883543</x:v>
      </x:c>
      <x:c r="S15" s="33" t="n">
        <x:f>R15*(1-'Supuestos'!$B$18)-M15</x:f>
        <x:v>3315645.5396045055</x:v>
      </x:c>
    </x:row>
    <x:row r="16">
      <x:c r="A16" s="27" t="n">
        <x:v>12</x:v>
      </x:c>
      <x:c r="B16" s="27" t="str">
        <x:v>0-12</x:v>
      </x:c>
      <x:c r="C16" s="58" t="n">
        <x:v>1</x:v>
      </x:c>
      <x:c r="D16" s="30" t="n">
        <x:f>D15*(1-'Supuestos'!$B$19)+C16</x:f>
        <x:v>8.418659227632743</x:v>
      </x:c>
      <x:c r="E16" s="33" t="n">
        <x:f>D16*'Supuestos'!$E$5+C16*'Supuestos'!$E$6</x:f>
        <x:v>3673487.1328793243</x:v>
      </x:c>
      <x:c r="F16" s="33" t="n">
        <x:f>E16*(1-'Supuestos'!$B$18)-M16</x:f>
        <x:v>-2187740.551038954</x:v>
      </x:c>
      <x:c r="G16" s="45" t="n">
        <x:v>2</x:v>
      </x:c>
      <x:c r="H16" s="30" t="n">
        <x:f>H15*(1-'Supuestos'!$B$20)+G16</x:f>
        <x:v>17.213497888287073</x:v>
      </x:c>
      <x:c r="I16" s="33" t="n">
        <x:f>H16*'Supuestos'!$E$5</x:f>
        <x:v>5770480.897090475</x:v>
      </x:c>
      <x:c r="J16" s="33" t="n">
        <x:f>G16*'Supuestos'!$E$6</x:f>
        <x:v>1702600</x:v>
      </x:c>
      <x:c r="K16" s="33" t="n">
        <x:f>I16+J16</x:f>
        <x:v>7473080.897090475</x:v>
      </x:c>
      <x:c r="L16" s="33" t="n">
        <x:f>K16*'Supuestos'!$B$18</x:f>
        <x:v>1345154.5614762856</x:v>
      </x:c>
      <x:c r="M16" s="50" t="n">
        <x:v>5200000</x:v>
      </x:c>
      <x:c r="N16" s="33" t="n">
        <x:f>K16-L16-M16</x:f>
        <x:v>927926.3356141895</x:v>
      </x:c>
      <x:c r="O16" s="33" t="n">
        <x:f>O15+K16</x:f>
        <x:v>47459791.18804295</x:v>
      </x:c>
      <x:c r="P16" s="61" t="n">
        <x:v>3</x:v>
      </x:c>
      <x:c r="Q16" s="30" t="n">
        <x:f>Q15*(1-'Supuestos'!$B$21)+P16</x:f>
        <x:v>26.196660053662733</x:v>
      </x:c>
      <x:c r="R16" s="33" t="n">
        <x:f>Q16*'Supuestos'!$E$5+P16*'Supuestos'!$E$6</x:f>
        <x:v>11335806.349789359</x:v>
      </x:c>
      <x:c r="S16" s="33" t="n">
        <x:f>R16*(1-'Supuestos'!$B$18)-M16</x:f>
        <x:v>4095361.2068272755</x:v>
      </x:c>
    </x:row>
    <x:row r="17">
      <x:c r="A17" s="27" t="n">
        <x:v>13</x:v>
      </x:c>
      <x:c r="B17" s="27" t="str">
        <x:v>13-24</x:v>
      </x:c>
      <x:c r="C17" s="58" t="n">
        <x:v>1.5</x:v>
      </x:c>
      <x:c r="D17" s="30" t="n">
        <x:f>D16*(1-'Supuestos'!$B$19)+C17</x:f>
        <x:v>9.792379339218252</x:v>
      </x:c>
      <x:c r="E17" s="33" t="n">
        <x:f>D17*'Supuestos'!$E$5+C17*'Supuestos'!$E$6</x:f>
        <x:v>4559649.325886134</x:v>
      </x:c>
      <x:c r="F17" s="33" t="n">
        <x:f>E17*(1-'Supuestos'!$B$18)-M17</x:f>
        <x:v>-4761087.5527733695</x:v>
      </x:c>
      <x:c r="G17" s="45" t="n">
        <x:v>2</x:v>
      </x:c>
      <x:c r="H17" s="30" t="n">
        <x:f>H16*(1-'Supuestos'!$B$20)+G17</x:f>
        <x:v>19.041362909404203</x:v>
      </x:c>
      <x:c r="I17" s="33" t="n">
        <x:f>H17*'Supuestos'!$E$5</x:f>
        <x:v>6383236.088119571</x:v>
      </x:c>
      <x:c r="J17" s="33" t="n">
        <x:f>G17*'Supuestos'!$E$6</x:f>
        <x:v>1702600</x:v>
      </x:c>
      <x:c r="K17" s="33" t="n">
        <x:f>I17+J17</x:f>
        <x:v>8085836.088119571</x:v>
      </x:c>
      <x:c r="L17" s="33" t="n">
        <x:f>K17*'Supuestos'!$B$18</x:f>
        <x:v>1455450.4958615229</x:v>
      </x:c>
      <x:c r="M17" s="50" t="n">
        <x:v>8500000</x:v>
      </x:c>
      <x:c r="N17" s="33" t="n">
        <x:f>K17-L17-M17</x:f>
        <x:v>-1869614.4077419518</x:v>
      </x:c>
      <x:c r="O17" s="33" t="n">
        <x:f>O16+K17</x:f>
        <x:v>55545627.27616253</x:v>
      </x:c>
      <x:c r="P17" s="61" t="n">
        <x:v>4</x:v>
      </x:c>
      <x:c r="Q17" s="30" t="n">
        <x:f>Q16*(1-'Supuestos'!$B$21)+P17</x:f>
        <x:v>30.013283433287093</x:v>
      </x:c>
      <x:c r="R17" s="33" t="n">
        <x:f>Q17*'Supuestos'!$E$5+P17*'Supuestos'!$E$6</x:f>
        <x:v>13466553.005340831</x:v>
      </x:c>
      <x:c r="S17" s="33" t="n">
        <x:f>R17*(1-'Supuestos'!$B$18)-M17</x:f>
        <x:v>2542573.464379482</x:v>
      </x:c>
    </x:row>
    <x:row r="18">
      <x:c r="A18" s="27" t="n">
        <x:v>14</x:v>
      </x:c>
      <x:c r="B18" s="27" t="str">
        <x:v>13-24</x:v>
      </x:c>
      <x:c r="C18" s="58" t="n">
        <x:v>1.5</x:v>
      </x:c>
      <x:c r="D18" s="30" t="n">
        <x:f>D17*(1-'Supuestos'!$B$19)+C18</x:f>
        <x:v>11.145493649129978</x:v>
      </x:c>
      <x:c r="E18" s="33" t="n">
        <x:f>D18*'Supuestos'!$E$5+C18*'Supuestos'!$E$6</x:f>
        <x:v>5013253.835997842</x:v>
      </x:c>
      <x:c r="F18" s="33" t="n">
        <x:f>E18*(1-'Supuestos'!$B$18)-M18</x:f>
        <x:v>-4389131.85448177</x:v>
      </x:c>
      <x:c r="G18" s="45" t="n">
        <x:v>2</x:v>
      </x:c>
      <x:c r="H18" s="30" t="n">
        <x:f>H17*(1-'Supuestos'!$B$20)+G18</x:f>
        <x:v>20.85094928031016</x:v>
      </x:c>
      <x:c r="I18" s="33" t="n">
        <x:f>H18*'Supuestos'!$E$5</x:f>
        <x:v>6989863.727238375</x:v>
      </x:c>
      <x:c r="J18" s="33" t="n">
        <x:f>G18*'Supuestos'!$E$6</x:f>
        <x:v>1702600</x:v>
      </x:c>
      <x:c r="K18" s="33" t="n">
        <x:f>I18+J18</x:f>
        <x:v>8692463.727238376</x:v>
      </x:c>
      <x:c r="L18" s="33" t="n">
        <x:f>K18*'Supuestos'!$B$18</x:f>
        <x:v>1564643.4709029077</x:v>
      </x:c>
      <x:c r="M18" s="50" t="n">
        <x:v>8500000</x:v>
      </x:c>
      <x:c r="N18" s="33" t="n">
        <x:f>K18-L18-M18</x:f>
        <x:v>-1372179.743664532</x:v>
      </x:c>
      <x:c r="O18" s="33" t="n">
        <x:f>O17+K18</x:f>
        <x:v>64238091.00340091</x:v>
      </x:c>
      <x:c r="P18" s="61" t="n">
        <x:v>4</x:v>
      </x:c>
      <x:c r="Q18" s="30" t="n">
        <x:f>Q17*(1-'Supuestos'!$B$21)+P18</x:f>
        <x:v>33.80319044925408</x:v>
      </x:c>
      <x:c r="R18" s="33" t="n">
        <x:f>Q18*'Supuestos'!$E$5+P18*'Supuestos'!$E$6</x:f>
        <x:v>14737043.534303445</x:v>
      </x:c>
      <x:c r="S18" s="33" t="n">
        <x:f>R18*(1-'Supuestos'!$B$18)-M18</x:f>
        <x:v>3584375.698128827</x:v>
      </x:c>
    </x:row>
    <x:row r="19">
      <x:c r="A19" s="27" t="n">
        <x:v>15</x:v>
      </x:c>
      <x:c r="B19" s="27" t="str">
        <x:v>13-24</x:v>
      </x:c>
      <x:c r="C19" s="58" t="n">
        <x:v>1.5</x:v>
      </x:c>
      <x:c r="D19" s="30" t="n">
        <x:f>D18*(1-'Supuestos'!$B$19)+C19</x:f>
        <x:v>12.478311244393028</x:v>
      </x:c>
      <x:c r="E19" s="33" t="n">
        <x:f>D19*'Supuestos'!$E$5+C19*'Supuestos'!$E$6</x:f>
        <x:v>5460054.278457874</x:v>
      </x:c>
      <x:c r="F19" s="33" t="n">
        <x:f>E19*(1-'Supuestos'!$B$18)-M19</x:f>
        <x:v>-4022755.491664543</x:v>
      </x:c>
      <x:c r="G19" s="45" t="n">
        <x:v>2</x:v>
      </x:c>
      <x:c r="H19" s="30" t="n">
        <x:f>H18*(1-'Supuestos'!$B$20)+G19</x:f>
        <x:v>22.642439787507058</x:v>
      </x:c>
      <x:c r="I19" s="33" t="n">
        <x:f>H19*'Supuestos'!$E$5</x:f>
        <x:v>7590425.089965991</x:v>
      </x:c>
      <x:c r="J19" s="33" t="n">
        <x:f>G19*'Supuestos'!$E$6</x:f>
        <x:v>1702600</x:v>
      </x:c>
      <x:c r="K19" s="33" t="n">
        <x:f>I19+J19</x:f>
        <x:v>9293025.089965992</x:v>
      </x:c>
      <x:c r="L19" s="33" t="n">
        <x:f>K19*'Supuestos'!$B$18</x:f>
        <x:v>1672744.5161938784</x:v>
      </x:c>
      <x:c r="M19" s="50" t="n">
        <x:v>8500000</x:v>
      </x:c>
      <x:c r="N19" s="33" t="n">
        <x:f>K19-L19-M19</x:f>
        <x:v>-879719.4262278862</x:v>
      </x:c>
      <x:c r="O19" s="33" t="n">
        <x:f>O18+K19</x:f>
        <x:v>73531116.09336689</x:v>
      </x:c>
      <x:c r="P19" s="61" t="n">
        <x:v>4</x:v>
      </x:c>
      <x:c r="Q19" s="30" t="n">
        <x:f>Q18*(1-'Supuestos'!$B$21)+P19</x:f>
        <x:v>37.5665681161093</x:v>
      </x:c>
      <x:c r="R19" s="33" t="n">
        <x:f>Q19*'Supuestos'!$E$5+P19*'Supuestos'!$E$6</x:f>
        <x:v>15998640.62956332</x:v>
      </x:c>
      <x:c r="S19" s="33" t="n">
        <x:f>R19*(1-'Supuestos'!$B$18)-M19</x:f>
        <x:v>4618885.316241924</x:v>
      </x:c>
    </x:row>
    <x:row r="20">
      <x:c r="A20" s="27" t="n">
        <x:v>16</x:v>
      </x:c>
      <x:c r="B20" s="27" t="str">
        <x:v>13-24</x:v>
      </x:c>
      <x:c r="C20" s="58" t="n">
        <x:v>1.5</x:v>
      </x:c>
      <x:c r="D20" s="30" t="n">
        <x:f>D19*(1-'Supuestos'!$B$19)+C20</x:f>
        <x:v>13.791136575727133</x:v>
      </x:c>
      <x:c r="E20" s="33" t="n">
        <x:f>D20*'Supuestos'!$E$5+C20*'Supuestos'!$E$6</x:f>
        <x:v>5900152.714281007</x:v>
      </x:c>
      <x:c r="F20" s="33" t="n">
        <x:f>E20*(1-'Supuestos'!$B$18)-M20</x:f>
        <x:v>-3661874.7742895745</x:v>
      </x:c>
      <x:c r="G20" s="45" t="n">
        <x:v>2</x:v>
      </x:c>
      <x:c r="H20" s="30" t="n">
        <x:f>H19*(1-'Supuestos'!$B$20)+G20</x:f>
        <x:v>24.416015389631987</x:v>
      </x:c>
      <x:c r="I20" s="33" t="n">
        <x:f>H20*'Supuestos'!$E$5</x:f>
        <x:v>8184980.839066331</x:v>
      </x:c>
      <x:c r="J20" s="33" t="n">
        <x:f>G20*'Supuestos'!$E$6</x:f>
        <x:v>1702600</x:v>
      </x:c>
      <x:c r="K20" s="33" t="n">
        <x:f>I20+J20</x:f>
        <x:v>9887580.83906633</x:v>
      </x:c>
      <x:c r="L20" s="33" t="n">
        <x:f>K20*'Supuestos'!$B$18</x:f>
        <x:v>1779764.5510319395</x:v>
      </x:c>
      <x:c r="M20" s="50" t="n">
        <x:v>8500000</x:v>
      </x:c>
      <x:c r="N20" s="33" t="n">
        <x:f>K20-L20-M20</x:f>
        <x:v>-392183.71196560934</x:v>
      </x:c>
      <x:c r="O20" s="33" t="n">
        <x:f>O19+K20</x:f>
        <x:v>83418696.93243322</x:v>
      </x:c>
      <x:c r="P20" s="61" t="n">
        <x:v>4</x:v>
      </x:c>
      <x:c r="Q20" s="30" t="n">
        <x:f>Q19*(1-'Supuestos'!$B$21)+P20</x:f>
        <x:v>41.30360213929654</x:v>
      </x:c>
      <x:c r="R20" s="33" t="n">
        <x:f>Q20*'Supuestos'!$E$5+P20*'Supuestos'!$E$6</x:f>
        <x:v>17251406.54515638</x:v>
      </x:c>
      <x:c r="S20" s="33" t="n">
        <x:f>R20*(1-'Supuestos'!$B$18)-M20</x:f>
        <x:v>5646153.367028231</x:v>
      </x:c>
    </x:row>
    <x:row r="21">
      <x:c r="A21" s="27" t="n">
        <x:v>17</x:v>
      </x:c>
      <x:c r="B21" s="27" t="str">
        <x:v>13-24</x:v>
      </x:c>
      <x:c r="C21" s="58" t="n">
        <x:v>1.5</x:v>
      </x:c>
      <x:c r="D21" s="30" t="n">
        <x:f>D20*(1-'Supuestos'!$B$19)+C21</x:f>
        <x:v>15.084269527091227</x:v>
      </x:c>
      <x:c r="E21" s="33" t="n">
        <x:f>D21*'Supuestos'!$E$5+C21*'Supuestos'!$E$6</x:f>
        <x:v>6333649.673566792</x:v>
      </x:c>
      <x:c r="F21" s="33" t="n">
        <x:f>E21*(1-'Supuestos'!$B$18)-M21</x:f>
        <x:v>-3306407.2676752303</x:v>
      </x:c>
      <x:c r="G21" s="45" t="n">
        <x:v>2</x:v>
      </x:c>
      <x:c r="H21" s="30" t="n">
        <x:f>H20*(1-'Supuestos'!$B$20)+G21</x:f>
        <x:v>26.171855235735666</x:v>
      </x:c>
      <x:c r="I21" s="33" t="n">
        <x:f>H21*'Supuestos'!$E$5</x:f>
        <x:v>8773591.030675668</x:v>
      </x:c>
      <x:c r="J21" s="33" t="n">
        <x:f>G21*'Supuestos'!$E$6</x:f>
        <x:v>1702600</x:v>
      </x:c>
      <x:c r="K21" s="33" t="n">
        <x:f>I21+J21</x:f>
        <x:v>10476191.030675668</x:v>
      </x:c>
      <x:c r="L21" s="33" t="n">
        <x:f>K21*'Supuestos'!$B$18</x:f>
        <x:v>1885714.3855216203</x:v>
      </x:c>
      <x:c r="M21" s="50" t="n">
        <x:v>8500000</x:v>
      </x:c>
      <x:c r="N21" s="33" t="n">
        <x:f>K21-L21-M21</x:f>
        <x:v>90476.64515404776</x:v>
      </x:c>
      <x:c r="O21" s="33" t="n">
        <x:f>O20+K21</x:f>
        <x:v>93894887.96310888</x:v>
      </x:c>
      <x:c r="P21" s="61" t="n">
        <x:v>4</x:v>
      </x:c>
      <x:c r="Q21" s="30" t="n">
        <x:f>Q20*(1-'Supuestos'!$B$21)+P21</x:f>
        <x:v>45.014476924321464</x:v>
      </x:c>
      <x:c r="R21" s="33" t="n">
        <x:f>Q21*'Supuestos'!$E$5+P21*'Supuestos'!$E$6</x:f>
        <x:v>18495403.099340282</x:v>
      </x:c>
      <x:c r="S21" s="33" t="n">
        <x:f>R21*(1-'Supuestos'!$B$18)-M21</x:f>
        <x:v>6666230.541459033</x:v>
      </x:c>
    </x:row>
    <x:row r="22">
      <x:c r="A22" s="27" t="n">
        <x:v>18</x:v>
      </x:c>
      <x:c r="B22" s="27" t="str">
        <x:v>13-24</x:v>
      </x:c>
      <x:c r="C22" s="58" t="n">
        <x:v>1.5</x:v>
      </x:c>
      <x:c r="D22" s="30" t="n">
        <x:f>D21*(1-'Supuestos'!$B$19)+C22</x:f>
        <x:v>16.358005484184858</x:v>
      </x:c>
      <x:c r="E22" s="33" t="n">
        <x:f>D22*'Supuestos'!$E$5+C22*'Supuestos'!$E$6</x:f>
        <x:v>6760644.1784632895</x:v>
      </x:c>
      <x:c r="F22" s="33" t="n">
        <x:f>E22*(1-'Supuestos'!$B$18)-M22</x:f>
        <x:v>-2956271.773660102</x:v>
      </x:c>
      <x:c r="G22" s="45" t="n">
        <x:v>2</x:v>
      </x:c>
      <x:c r="H22" s="30" t="n">
        <x:f>H21*(1-'Supuestos'!$B$20)+G22</x:f>
        <x:v>27.910136683378308</x:v>
      </x:c>
      <x:c r="I22" s="33" t="n">
        <x:f>H22*'Supuestos'!$E$5</x:f>
        <x:v>9356315.120368911</x:v>
      </x:c>
      <x:c r="J22" s="33" t="n">
        <x:f>G22*'Supuestos'!$E$6</x:f>
        <x:v>1702600</x:v>
      </x:c>
      <x:c r="K22" s="33" t="n">
        <x:f>I22+J22</x:f>
        <x:v>11058915.120368911</x:v>
      </x:c>
      <x:c r="L22" s="33" t="n">
        <x:f>K22*'Supuestos'!$B$18</x:f>
        <x:v>1990604.7216664038</x:v>
      </x:c>
      <x:c r="M22" s="50" t="n">
        <x:v>8500000</x:v>
      </x:c>
      <x:c r="N22" s="33" t="n">
        <x:f>K22-L22-M22</x:f>
        <x:v>568310.3987025078</x:v>
      </x:c>
      <x:c r="O22" s="33" t="n">
        <x:f>O21+K22</x:f>
        <x:v>104953803.0834778</x:v>
      </x:c>
      <x:c r="P22" s="61" t="n">
        <x:v>4</x:v>
      </x:c>
      <x:c r="Q22" s="30" t="n">
        <x:f>Q21*(1-'Supuestos'!$B$21)+P22</x:f>
        <x:v>48.699375585851215</x:v>
      </x:c>
      <x:c r="R22" s="33" t="n">
        <x:f>Q22*'Supuestos'!$E$5+P22*'Supuestos'!$E$6</x:f>
        <x:v>19730691.6776449</x:v>
      </x:c>
      <x:c r="S22" s="33" t="n">
        <x:f>R22*(1-'Supuestos'!$B$18)-M22</x:f>
        <x:v>7679167.175668821</x:v>
      </x:c>
    </x:row>
    <x:row r="23">
      <x:c r="A23" s="27" t="n">
        <x:v>19</x:v>
      </x:c>
      <x:c r="B23" s="27" t="str">
        <x:v>13-24</x:v>
      </x:c>
      <x:c r="C23" s="58" t="n">
        <x:v>1.5</x:v>
      </x:c>
      <x:c r="D23" s="30" t="n">
        <x:f>D22*(1-'Supuestos'!$B$19)+C23</x:f>
        <x:v>17.612635401922084</x:v>
      </x:c>
      <x:c r="E23" s="33" t="n">
        <x:f>D23*'Supuestos'!$E$5+C23*'Supuestos'!$E$6</x:f>
        <x:v>7181233.76578634</x:v>
      </x:c>
      <x:c r="F23" s="33" t="n">
        <x:f>E23*(1-'Supuestos'!$B$18)-M23</x:f>
        <x:v>-2611388.3120552003</x:v>
      </x:c>
      <x:c r="G23" s="45" t="n">
        <x:v>3</x:v>
      </x:c>
      <x:c r="H23" s="30" t="n">
        <x:f>H22*(1-'Supuestos'!$B$20)+G23</x:f>
        <x:v>30.631035316544526</x:v>
      </x:c>
      <x:c r="I23" s="33" t="n">
        <x:f>H23*'Supuestos'!$E$5</x:f>
        <x:v>10268441.96916522</x:v>
      </x:c>
      <x:c r="J23" s="33" t="n">
        <x:f>G23*'Supuestos'!$E$6</x:f>
        <x:v>2553900</x:v>
      </x:c>
      <x:c r="K23" s="33" t="n">
        <x:f>I23+J23</x:f>
        <x:v>12822341.96916522</x:v>
      </x:c>
      <x:c r="L23" s="33" t="n">
        <x:f>K23*'Supuestos'!$B$18</x:f>
        <x:v>2308021.55444974</x:v>
      </x:c>
      <x:c r="M23" s="50" t="n">
        <x:v>8500000</x:v>
      </x:c>
      <x:c r="N23" s="33" t="n">
        <x:f>K23-L23-M23</x:f>
        <x:v>2014320.41471548</x:v>
      </x:c>
      <x:c r="O23" s="33" t="n">
        <x:f>O22+K23</x:f>
        <x:v>117776145.05264302</x:v>
      </x:c>
      <x:c r="P23" s="61" t="n">
        <x:v>4</x:v>
      </x:c>
      <x:c r="Q23" s="30" t="n">
        <x:f>Q22*(1-'Supuestos'!$B$21)+P23</x:f>
        <x:v>52.35847995675026</x:v>
      </x:c>
      <x:c r="R23" s="33" t="n">
        <x:f>Q23*'Supuestos'!$E$5+P23*'Supuestos'!$E$6</x:f>
        <x:v>20957333.23590139</x:v>
      </x:c>
      <x:c r="S23" s="33" t="n">
        <x:f>R23*(1-'Supuestos'!$B$18)-M23</x:f>
        <x:v>8685013.25343914</x:v>
      </x:c>
    </x:row>
    <x:row r="24">
      <x:c r="A24" s="27" t="n">
        <x:v>20</x:v>
      </x:c>
      <x:c r="B24" s="27" t="str">
        <x:v>13-24</x:v>
      </x:c>
      <x:c r="C24" s="58" t="n">
        <x:v>1.5</x:v>
      </x:c>
      <x:c r="D24" s="30" t="n">
        <x:f>D23*(1-'Supuestos'!$B$19)+C24</x:f>
        <x:v>18.848445870893254</x:v>
      </x:c>
      <x:c r="E24" s="33" t="n">
        <x:f>D24*'Supuestos'!$E$5+C24*'Supuestos'!$E$6</x:f>
        <x:v>7595514.509299546</x:v>
      </x:c>
      <x:c r="F24" s="33" t="n">
        <x:f>E24*(1-'Supuestos'!$B$18)-M24</x:f>
        <x:v>-2271678.102374372</x:v>
      </x:c>
      <x:c r="G24" s="45" t="n">
        <x:v>3</x:v>
      </x:c>
      <x:c r="H24" s="30" t="n">
        <x:f>H23*(1-'Supuestos'!$B$20)+G24</x:f>
        <x:v>33.32472496337908</x:v>
      </x:c>
      <x:c r="I24" s="33" t="n">
        <x:f>H24*'Supuestos'!$E$5</x:f>
        <x:v>11171447.54947357</x:v>
      </x:c>
      <x:c r="J24" s="33" t="n">
        <x:f>G24*'Supuestos'!$E$6</x:f>
        <x:v>2553900</x:v>
      </x:c>
      <x:c r="K24" s="33" t="n">
        <x:f>I24+J24</x:f>
        <x:v>13725347.54947357</x:v>
      </x:c>
      <x:c r="L24" s="33" t="n">
        <x:f>K24*'Supuestos'!$B$18</x:f>
        <x:v>2470562.5589052425</x:v>
      </x:c>
      <x:c r="M24" s="50" t="n">
        <x:v>8500000</x:v>
      </x:c>
      <x:c r="N24" s="33" t="n">
        <x:f>K24-L24-M24</x:f>
        <x:v>2754784.9905683286</x:v>
      </x:c>
      <x:c r="O24" s="33" t="n">
        <x:f>O23+K24</x:f>
        <x:v>131501492.60211658</x:v>
      </x:c>
      <x:c r="P24" s="61" t="n">
        <x:v>4</x:v>
      </x:c>
      <x:c r="Q24" s="30" t="n">
        <x:f>Q23*(1-'Supuestos'!$B$21)+P24</x:f>
        <x:v>55.991970597053005</x:v>
      </x:c>
      <x:c r="R24" s="33" t="n">
        <x:f>Q24*'Supuestos'!$E$5+P24*'Supuestos'!$E$6</x:f>
        <x:v>22175388.303250078</x:v>
      </x:c>
      <x:c r="S24" s="33" t="n">
        <x:f>R24*(1-'Supuestos'!$B$18)-M24</x:f>
        <x:v>9683818.408665065</x:v>
      </x:c>
    </x:row>
    <x:row r="25">
      <x:c r="A25" s="27" t="n">
        <x:v>21</x:v>
      </x:c>
      <x:c r="B25" s="27" t="str">
        <x:v>13-24</x:v>
      </x:c>
      <x:c r="C25" s="58" t="n">
        <x:v>1.5</x:v>
      </x:c>
      <x:c r="D25" s="30" t="n">
        <x:f>D24*(1-'Supuestos'!$B$19)+C25</x:f>
        <x:v>20.065719182829856</x:v>
      </x:c>
      <x:c r="E25" s="33" t="n">
        <x:f>D25*'Supuestos'!$E$5+C25*'Supuestos'!$E$6</x:f>
        <x:v>8003581.041660053</x:v>
      </x:c>
      <x:c r="F25" s="33" t="n">
        <x:f>E25*(1-'Supuestos'!$B$18)-M25</x:f>
        <x:v>-1937063.5458387565</x:v>
      </x:c>
      <x:c r="G25" s="45" t="n">
        <x:v>3</x:v>
      </x:c>
      <x:c r="H25" s="30" t="n">
        <x:f>H24*(1-'Supuestos'!$B$20)+G25</x:f>
        <x:v>35.99147771374529</x:v>
      </x:c>
      <x:c r="I25" s="33" t="n">
        <x:f>H25*'Supuestos'!$E$5</x:f>
        <x:v>12065423.073978834</x:v>
      </x:c>
      <x:c r="J25" s="33" t="n">
        <x:f>G25*'Supuestos'!$E$6</x:f>
        <x:v>2553900</x:v>
      </x:c>
      <x:c r="K25" s="33" t="n">
        <x:f>I25+J25</x:f>
        <x:v>14619323.073978834</x:v>
      </x:c>
      <x:c r="L25" s="33" t="n">
        <x:f>K25*'Supuestos'!$B$18</x:f>
        <x:v>2631478.15331619</x:v>
      </x:c>
      <x:c r="M25" s="50" t="n">
        <x:v>8500000</x:v>
      </x:c>
      <x:c r="N25" s="33" t="n">
        <x:f>K25-L25-M25</x:f>
        <x:v>3487844.9206626434</x:v>
      </x:c>
      <x:c r="O25" s="33" t="n">
        <x:f>O24+K25</x:f>
        <x:v>146120815.67609543</x:v>
      </x:c>
      <x:c r="P25" s="61" t="n">
        <x:v>4</x:v>
      </x:c>
      <x:c r="Q25" s="30" t="n">
        <x:f>Q24*(1-'Supuestos'!$B$21)+P25</x:f>
        <x:v>59.600026802873636</x:v>
      </x:c>
      <x:c r="R25" s="33" t="n">
        <x:f>Q25*'Supuestos'!$E$5+P25*'Supuestos'!$E$6</x:f>
        <x:v>23384916.98512733</x:v>
      </x:c>
      <x:c r="S25" s="33" t="n">
        <x:f>R25*(1-'Supuestos'!$B$18)-M25</x:f>
        <x:v>10675631.92780441</x:v>
      </x:c>
    </x:row>
    <x:row r="26">
      <x:c r="A26" s="27" t="n">
        <x:v>22</x:v>
      </x:c>
      <x:c r="B26" s="27" t="str">
        <x:v>13-24</x:v>
      </x:c>
      <x:c r="C26" s="58" t="n">
        <x:v>1.5</x:v>
      </x:c>
      <x:c r="D26" s="30" t="n">
        <x:f>D25*(1-'Supuestos'!$B$19)+C26</x:f>
        <x:v>21.264733395087408</x:v>
      </x:c>
      <x:c r="E26" s="33" t="n">
        <x:f>D26*'Supuestos'!$E$5+C26*'Supuestos'!$E$6</x:f>
        <x:v>8405526.576035151</x:v>
      </x:c>
      <x:c r="F26" s="33" t="n">
        <x:f>E26*(1-'Supuestos'!$B$18)-M26</x:f>
        <x:v>-1607468.2076511756</x:v>
      </x:c>
      <x:c r="G26" s="45" t="n">
        <x:v>3</x:v>
      </x:c>
      <x:c r="H26" s="30" t="n">
        <x:f>H25*(1-'Supuestos'!$B$20)+G26</x:f>
        <x:v>38.631562936607835</x:v>
      </x:c>
      <x:c r="I26" s="33" t="n">
        <x:f>H26*'Supuestos'!$E$5</x:f>
        <x:v>12950458.843239045</x:v>
      </x:c>
      <x:c r="J26" s="33" t="n">
        <x:f>G26*'Supuestos'!$E$6</x:f>
        <x:v>2553900</x:v>
      </x:c>
      <x:c r="K26" s="33" t="n">
        <x:f>I26+J26</x:f>
        <x:v>15504358.843239045</x:v>
      </x:c>
      <x:c r="L26" s="33" t="n">
        <x:f>K26*'Supuestos'!$B$18</x:f>
        <x:v>2790784.591783028</x:v>
      </x:c>
      <x:c r="M26" s="50" t="n">
        <x:v>8500000</x:v>
      </x:c>
      <x:c r="N26" s="33" t="n">
        <x:f>K26-L26-M26</x:f>
        <x:v>4213574.251456017</x:v>
      </x:c>
      <x:c r="O26" s="33" t="n">
        <x:f>O25+K26</x:f>
        <x:v>161625174.51933447</x:v>
      </x:c>
      <x:c r="P26" s="61" t="n">
        <x:v>4</x:v>
      </x:c>
      <x:c r="Q26" s="30" t="n">
        <x:f>Q25*(1-'Supuestos'!$B$21)+P26</x:f>
        <x:v>63.18282661525352</x:v>
      </x:c>
      <x:c r="R26" s="33" t="n">
        <x:f>Q26*'Supuestos'!$E$5+P26*'Supuestos'!$E$6</x:f>
        <x:v>24585978.966231436</x:v>
      </x:c>
      <x:c r="S26" s="33" t="n">
        <x:f>R26*(1-'Supuestos'!$B$18)-M26</x:f>
        <x:v>11660502.752309777</x:v>
      </x:c>
    </x:row>
    <x:row r="27">
      <x:c r="A27" s="27" t="n">
        <x:v>23</x:v>
      </x:c>
      <x:c r="B27" s="27" t="str">
        <x:v>13-24</x:v>
      </x:c>
      <x:c r="C27" s="58" t="n">
        <x:v>1.5</x:v>
      </x:c>
      <x:c r="D27" s="30" t="n">
        <x:f>D26*(1-'Supuestos'!$B$19)+C27</x:f>
        <x:v>22.445762394161097</x:v>
      </x:c>
      <x:c r="E27" s="33" t="n">
        <x:f>D27*'Supuestos'!$E$5+C27*'Supuestos'!$E$6</x:f>
        <x:v>8801442.927394625</x:v>
      </x:c>
      <x:c r="F27" s="33" t="n">
        <x:f>E27*(1-'Supuestos'!$B$18)-M27</x:f>
        <x:v>-1282816.799536407</x:v>
      </x:c>
      <x:c r="G27" s="45" t="n">
        <x:v>3</x:v>
      </x:c>
      <x:c r="H27" s="30" t="n">
        <x:f>H26*(1-'Supuestos'!$B$20)+G27</x:f>
        <x:v>41.245247307241755</x:v>
      </x:c>
      <x:c r="I27" s="33" t="n">
        <x:f>H27*'Supuestos'!$E$5</x:f>
        <x:v>13826644.254806653</x:v>
      </x:c>
      <x:c r="J27" s="33" t="n">
        <x:f>G27*'Supuestos'!$E$6</x:f>
        <x:v>2553900</x:v>
      </x:c>
      <x:c r="K27" s="33" t="n">
        <x:f>I27+J27</x:f>
        <x:v>16380544.254806653</x:v>
      </x:c>
      <x:c r="L27" s="33" t="n">
        <x:f>K27*'Supuestos'!$B$18</x:f>
        <x:v>2948497.9658651976</x:v>
      </x:c>
      <x:c r="M27" s="50" t="n">
        <x:v>8500000</x:v>
      </x:c>
      <x:c r="N27" s="33" t="n">
        <x:f>K27-L27-M27</x:f>
        <x:v>4932046.288941454</x:v>
      </x:c>
      <x:c r="O27" s="33" t="n">
        <x:f>O26+K27</x:f>
        <x:v>178005718.77414113</x:v>
      </x:c>
      <x:c r="P27" s="61" t="n">
        <x:v>4</x:v>
      </x:c>
      <x:c r="Q27" s="30" t="n">
        <x:f>Q26*(1-'Supuestos'!$B$21)+P27</x:f>
        <x:v>66.74054682894675</x:v>
      </x:c>
      <x:c r="R27" s="33" t="n">
        <x:f>Q27*'Supuestos'!$E$5+P27*'Supuestos'!$E$6</x:f>
        <x:v>25778633.51346782</x:v>
      </x:c>
      <x:c r="S27" s="33" t="n">
        <x:f>R27*(1-'Supuestos'!$B$18)-M27</x:f>
        <x:v>12638479.481043614</x:v>
      </x:c>
    </x:row>
    <x:row r="28">
      <x:c r="A28" s="27" t="n">
        <x:v>24</x:v>
      </x:c>
      <x:c r="B28" s="27" t="str">
        <x:v>13-24</x:v>
      </x:c>
      <x:c r="C28" s="58" t="n">
        <x:v>1.5</x:v>
      </x:c>
      <x:c r="D28" s="30" t="n">
        <x:f>D27*(1-'Supuestos'!$B$19)+C28</x:f>
        <x:v>23.60907595824868</x:v>
      </x:c>
      <x:c r="E28" s="33" t="n">
        <x:f>D28*'Supuestos'!$E$5+C28*'Supuestos'!$E$6</x:f>
        <x:v>9191420.533483706</x:v>
      </x:c>
      <x:c r="F28" s="33" t="n">
        <x:f>E28*(1-'Supuestos'!$B$18)-M28</x:f>
        <x:v>-963035.1625433601</x:v>
      </x:c>
      <x:c r="G28" s="45" t="n">
        <x:v>3</x:v>
      </x:c>
      <x:c r="H28" s="30" t="n">
        <x:f>H27*(1-'Supuestos'!$B$20)+G28</x:f>
        <x:v>43.832794834169334</x:v>
      </x:c>
      <x:c r="I28" s="33" t="n">
        <x:f>H28*'Supuestos'!$E$5</x:f>
        <x:v>14694067.812258586</x:v>
      </x:c>
      <x:c r="J28" s="33" t="n">
        <x:f>G28*'Supuestos'!$E$6</x:f>
        <x:v>2553900</x:v>
      </x:c>
      <x:c r="K28" s="33" t="n">
        <x:f>I28+J28</x:f>
        <x:v>17247967.812258586</x:v>
      </x:c>
      <x:c r="L28" s="33" t="n">
        <x:f>K28*'Supuestos'!$B$18</x:f>
        <x:v>3104634.2062065452</x:v>
      </x:c>
      <x:c r="M28" s="50" t="n">
        <x:v>8500000</x:v>
      </x:c>
      <x:c r="N28" s="33" t="n">
        <x:f>K28-L28-M28</x:f>
        <x:v>5643333.606052041</x:v>
      </x:c>
      <x:c r="O28" s="33" t="n">
        <x:f>O27+K28</x:f>
        <x:v>195253686.58639973</x:v>
      </x:c>
      <x:c r="P28" s="61" t="n">
        <x:v>4</x:v>
      </x:c>
      <x:c r="Q28" s="30" t="n">
        <x:f>Q27*(1-'Supuestos'!$B$21)+P28</x:f>
        <x:v>70.27336300114412</x:v>
      </x:c>
      <x:c r="R28" s="33" t="n">
        <x:f>Q28*'Supuestos'!$E$5+P28*'Supuestos'!$E$6</x:f>
        <x:v>26962939.478873543</x:v>
      </x:c>
      <x:c r="S28" s="33" t="n">
        <x:f>R28*(1-'Supuestos'!$B$18)-M28</x:f>
        <x:v>13609610.372676305</x:v>
      </x:c>
    </x:row>
    <x:row r="29">
      <x:c r="A29" s="27" t="n">
        <x:v>25</x:v>
      </x:c>
      <x:c r="B29" s="27" t="str">
        <x:v>25-36</x:v>
      </x:c>
      <x:c r="C29" s="58" t="n">
        <x:v>2.5</x:v>
      </x:c>
      <x:c r="D29" s="30" t="n">
        <x:f>D28*(1-'Supuestos'!$B$19)+C29</x:f>
        <x:v>25.754939818874952</x:v>
      </x:c>
      <x:c r="E29" s="33" t="n">
        <x:f>D29*'Supuestos'!$E$5+C29*'Supuestos'!$E$6</x:f>
        <x:v>10762078.47548145</x:v>
      </x:c>
      <x:c r="F29" s="33" t="n">
        <x:f>E29*(1-'Supuestos'!$B$18)-M29</x:f>
        <x:v>-4175095.65010521</x:v>
      </x:c>
      <x:c r="G29" s="45" t="n">
        <x:v>4</x:v>
      </x:c>
      <x:c r="H29" s="30" t="n">
        <x:f>H28*(1-'Supuestos'!$B$20)+G29</x:f>
        <x:v>47.39446688582764</x:v>
      </x:c>
      <x:c r="I29" s="33" t="n">
        <x:f>H29*'Supuestos'!$E$5</x:f>
        <x:v>15888047.134136</x:v>
      </x:c>
      <x:c r="J29" s="33" t="n">
        <x:f>G29*'Supuestos'!$E$6</x:f>
        <x:v>3405200</x:v>
      </x:c>
      <x:c r="K29" s="33" t="n">
        <x:f>I29+J29</x:f>
        <x:v>19293247.134136</x:v>
      </x:c>
      <x:c r="L29" s="33" t="n">
        <x:f>K29*'Supuestos'!$B$18</x:f>
        <x:v>3472784.4841444795</x:v>
      </x:c>
      <x:c r="M29" s="50" t="n">
        <x:v>13000000</x:v>
      </x:c>
      <x:c r="N29" s="33" t="n">
        <x:f>K29-L29-M29</x:f>
        <x:v>2820462.6499915197</x:v>
      </x:c>
      <x:c r="O29" s="33" t="n">
        <x:f>O28+K29</x:f>
        <x:v>214546933.72053573</x:v>
      </x:c>
      <x:c r="P29" s="61" t="n">
        <x:v>6</x:v>
      </x:c>
      <x:c r="Q29" s="30" t="n">
        <x:f>Q28*(1-'Supuestos'!$B$21)+P29</x:f>
        <x:v>75.78144946013612</x:v>
      </x:c>
      <x:c r="R29" s="33" t="n">
        <x:f>Q29*'Supuestos'!$E$5+P29*'Supuestos'!$E$6</x:f>
        <x:v>30512015.30252143</x:v>
      </x:c>
      <x:c r="S29" s="33" t="n">
        <x:f>R29*(1-'Supuestos'!$B$18)-M29</x:f>
        <x:v>12019852.548067573</x:v>
      </x:c>
    </x:row>
    <x:row r="30">
      <x:c r="A30" s="27" t="n">
        <x:v>26</x:v>
      </x:c>
      <x:c r="B30" s="27" t="str">
        <x:v>25-36</x:v>
      </x:c>
      <x:c r="C30" s="58" t="n">
        <x:v>2.5</x:v>
      </x:c>
      <x:c r="D30" s="30" t="n">
        <x:f>D29*(1-'Supuestos'!$B$19)+C30</x:f>
        <x:v>27.868615721591826</x:v>
      </x:c>
      <x:c r="E30" s="33" t="n">
        <x:f>D30*'Supuestos'!$E$5+C30*'Supuestos'!$E$6</x:f>
        <x:v>11470646.048349228</x:v>
      </x:c>
      <x:c r="F30" s="33" t="n">
        <x:f>E30*(1-'Supuestos'!$B$18)-M30</x:f>
        <x:v>-3594070.2403536327</x:v>
      </x:c>
      <x:c r="G30" s="45" t="n">
        <x:v>4</x:v>
      </x:c>
      <x:c r="H30" s="30" t="n">
        <x:f>H29*(1-'Supuestos'!$B$20)+G30</x:f>
        <x:v>50.92052221696936</x:v>
      </x:c>
      <x:c r="I30" s="33" t="n">
        <x:f>H30*'Supuestos'!$E$5</x:f>
        <x:v>17070086.66279464</x:v>
      </x:c>
      <x:c r="J30" s="33" t="n">
        <x:f>G30*'Supuestos'!$E$6</x:f>
        <x:v>3405200</x:v>
      </x:c>
      <x:c r="K30" s="33" t="n">
        <x:f>I30+J30</x:f>
        <x:v>20475286.66279464</x:v>
      </x:c>
      <x:c r="L30" s="33" t="n">
        <x:f>K30*'Supuestos'!$B$18</x:f>
        <x:v>3685551.5993030346</x:v>
      </x:c>
      <x:c r="M30" s="50" t="n">
        <x:v>13000000</x:v>
      </x:c>
      <x:c r="N30" s="33" t="n">
        <x:f>K30-L30-M30</x:f>
        <x:v>3789735.063491605</x:v>
      </x:c>
      <x:c r="O30" s="33" t="n">
        <x:f>O29+K30</x:f>
        <x:v>235022220.38333037</x:v>
      </x:c>
      <x:c r="P30" s="61" t="n">
        <x:v>6</x:v>
      </x:c>
      <x:c r="Q30" s="30" t="n">
        <x:f>Q29*(1-'Supuestos'!$B$21)+P30</x:f>
        <x:v>81.25097931391517</x:v>
      </x:c>
      <x:c r="R30" s="33" t="n">
        <x:f>Q30*'Supuestos'!$E$5+P30*'Supuestos'!$E$6</x:f>
        <x:v>32345565.795403782</x:v>
      </x:c>
      <x:c r="S30" s="33" t="n">
        <x:f>R30*(1-'Supuestos'!$B$18)-M30</x:f>
        <x:v>13523363.952231102</x:v>
      </x:c>
    </x:row>
    <x:row r="31">
      <x:c r="A31" s="27" t="n">
        <x:v>27</x:v>
      </x:c>
      <x:c r="B31" s="27" t="str">
        <x:v>25-36</x:v>
      </x:c>
      <x:c r="C31" s="58" t="n">
        <x:v>2.5</x:v>
      </x:c>
      <x:c r="D31" s="30" t="n">
        <x:f>D30*(1-'Supuestos'!$B$19)+C31</x:f>
        <x:v>29.95058648576795</x:v>
      </x:c>
      <x:c r="E31" s="33" t="n">
        <x:f>D31*'Supuestos'!$E$5+C31*'Supuestos'!$E$6</x:f>
        <x:v>12168585.10762399</x:v>
      </x:c>
      <x:c r="F31" s="33" t="n">
        <x:f>E31*(1-'Supuestos'!$B$18)-M31</x:f>
        <x:v>-3021760.211748326</x:v>
      </x:c>
      <x:c r="G31" s="45" t="n">
        <x:v>4</x:v>
      </x:c>
      <x:c r="H31" s="30" t="n">
        <x:f>H30*(1-'Supuestos'!$B$20)+G31</x:f>
        <x:v>54.41131699479966</x:v>
      </x:c>
      <x:c r="I31" s="33" t="n">
        <x:f>H31*'Supuestos'!$E$5</x:f>
        <x:v>18240305.796166692</x:v>
      </x:c>
      <x:c r="J31" s="33" t="n">
        <x:f>G31*'Supuestos'!$E$6</x:f>
        <x:v>3405200</x:v>
      </x:c>
      <x:c r="K31" s="33" t="n">
        <x:f>I31+J31</x:f>
        <x:v>21645505.796166692</x:v>
      </x:c>
      <x:c r="L31" s="33" t="n">
        <x:f>K31*'Supuestos'!$B$18</x:f>
        <x:v>3896191.0433100043</x:v>
      </x:c>
      <x:c r="M31" s="50" t="n">
        <x:v>13000000</x:v>
      </x:c>
      <x:c r="N31" s="33" t="n">
        <x:f>K31-L31-M31</x:f>
        <x:v>4749314.752856687</x:v>
      </x:c>
      <x:c r="O31" s="33" t="n">
        <x:f>O30+K31</x:f>
        <x:v>256667726.17949706</x:v>
      </x:c>
      <x:c r="P31" s="61" t="n">
        <x:v>6</x:v>
      </x:c>
      <x:c r="Q31" s="30" t="n">
        <x:f>Q30*(1-'Supuestos'!$B$21)+P31</x:f>
        <x:v>86.68222245871776</x:v>
      </x:c>
      <x:c r="R31" s="33" t="n">
        <x:f>Q31*'Supuestos'!$E$5+P31*'Supuestos'!$E$6</x:f>
        <x:v>34166281.434835956</x:v>
      </x:c>
      <x:c r="S31" s="33" t="n">
        <x:f>R31*(1-'Supuestos'!$B$18)-M31</x:f>
        <x:v>15016350.776565485</x:v>
      </x:c>
    </x:row>
    <x:row r="32">
      <x:c r="A32" s="27" t="n">
        <x:v>28</x:v>
      </x:c>
      <x:c r="B32" s="27" t="str">
        <x:v>25-36</x:v>
      </x:c>
      <x:c r="C32" s="58" t="n">
        <x:v>2.5</x:v>
      </x:c>
      <x:c r="D32" s="30" t="n">
        <x:f>D31*(1-'Supuestos'!$B$19)+C32</x:f>
        <x:v>32.00132768848143</x:v>
      </x:c>
      <x:c r="E32" s="33" t="n">
        <x:f>D32*'Supuestos'!$E$5+C32*'Supuestos'!$E$6</x:f>
        <x:v>12856055.08100963</x:v>
      </x:c>
      <x:c r="F32" s="33" t="n">
        <x:f>E32*(1-'Supuestos'!$B$18)-M32</x:f>
        <x:v>-2458034.8335721027</x:v>
      </x:c>
      <x:c r="G32" s="45" t="n">
        <x:v>4</x:v>
      </x:c>
      <x:c r="H32" s="30" t="n">
        <x:f>H31*(1-'Supuestos'!$B$20)+G32</x:f>
        <x:v>57.867203824851664</x:v>
      </x:c>
      <x:c r="I32" s="33" t="n">
        <x:f>H32*'Supuestos'!$E$5</x:f>
        <x:v>19398822.738205023</x:v>
      </x:c>
      <x:c r="J32" s="33" t="n">
        <x:f>G32*'Supuestos'!$E$6</x:f>
        <x:v>3405200</x:v>
      </x:c>
      <x:c r="K32" s="33" t="n">
        <x:f>I32+J32</x:f>
        <x:v>22804022.738205023</x:v>
      </x:c>
      <x:c r="L32" s="33" t="n">
        <x:f>K32*'Supuestos'!$B$18</x:f>
        <x:v>4104724.092876904</x:v>
      </x:c>
      <x:c r="M32" s="50" t="n">
        <x:v>13000000</x:v>
      </x:c>
      <x:c r="N32" s="33" t="n">
        <x:f>K32-L32-M32</x:f>
        <x:v>5699298.645328119</x:v>
      </x:c>
      <x:c r="O32" s="33" t="n">
        <x:f>O31+K32</x:f>
        <x:v>279471748.9177021</x:v>
      </x:c>
      <x:c r="P32" s="61" t="n">
        <x:v>6</x:v>
      </x:c>
      <x:c r="Q32" s="30" t="n">
        <x:f>Q31*(1-'Supuestos'!$B$21)+P32</x:f>
        <x:v>92.07544690150674</x:v>
      </x:c>
      <x:c r="R32" s="33" t="n">
        <x:f>Q32*'Supuestos'!$E$5+P32*'Supuestos'!$E$6</x:f>
        <x:v>35974252.064792104</x:v>
      </x:c>
      <x:c r="S32" s="33" t="n">
        <x:f>R32*(1-'Supuestos'!$B$18)-M32</x:f>
        <x:v>16498886.693129528</x:v>
      </x:c>
    </x:row>
    <x:row r="33">
      <x:c r="A33" s="27" t="n">
        <x:v>29</x:v>
      </x:c>
      <x:c r="B33" s="27" t="str">
        <x:v>25-36</x:v>
      </x:c>
      <x:c r="C33" s="58" t="n">
        <x:v>2.5</x:v>
      </x:c>
      <x:c r="D33" s="30" t="n">
        <x:f>D32*(1-'Supuestos'!$B$19)+C33</x:f>
        <x:v>34.021307773154206</x:v>
      </x:c>
      <x:c r="E33" s="33" t="n">
        <x:f>D33*'Supuestos'!$E$5+C33*'Supuestos'!$E$6</x:f>
        <x:v>13533213.004794484</x:v>
      </x:c>
      <x:c r="F33" s="33" t="n">
        <x:f>E33*(1-'Supuestos'!$B$18)-M33</x:f>
        <x:v>-1902765.3360685222</x:v>
      </x:c>
      <x:c r="G33" s="45" t="n">
        <x:v>4</x:v>
      </x:c>
      <x:c r="H33" s="30" t="n">
        <x:f>H32*(1-'Supuestos'!$B$20)+G33</x:f>
        <x:v>61.288531786603144</x:v>
      </x:c>
      <x:c r="I33" s="33" t="n">
        <x:f>H33*'Supuestos'!$E$5</x:f>
        <x:v>20545754.51082297</x:v>
      </x:c>
      <x:c r="J33" s="33" t="n">
        <x:f>G33*'Supuestos'!$E$6</x:f>
        <x:v>3405200</x:v>
      </x:c>
      <x:c r="K33" s="33" t="n">
        <x:f>I33+J33</x:f>
        <x:v>23950954.51082297</x:v>
      </x:c>
      <x:c r="L33" s="33" t="n">
        <x:f>K33*'Supuestos'!$B$18</x:f>
        <x:v>4311171.811948135</x:v>
      </x:c>
      <x:c r="M33" s="50" t="n">
        <x:v>13000000</x:v>
      </x:c>
      <x:c r="N33" s="33" t="n">
        <x:f>K33-L33-M33</x:f>
        <x:v>6639782.698874835</x:v>
      </x:c>
      <x:c r="O33" s="33" t="n">
        <x:f>O32+K33</x:f>
        <x:v>303422703.42852503</x:v>
      </x:c>
      <x:c r="P33" s="61" t="n">
        <x:v>6</x:v>
      </x:c>
      <x:c r="Q33" s="30" t="n">
        <x:f>Q32*(1-'Supuestos'!$B$21)+P33</x:f>
        <x:v>97.43091877319618</x:v>
      </x:c>
      <x:c r="R33" s="33" t="n">
        <x:f>Q33*'Supuestos'!$E$5+P33*'Supuestos'!$E$6</x:f>
        <x:v>37769566.90033856</x:v>
      </x:c>
      <x:c r="S33" s="33" t="n">
        <x:f>R33*(1-'Supuestos'!$B$18)-M33</x:f>
        <x:v>17971044.858277623</x:v>
      </x:c>
    </x:row>
    <x:row r="34">
      <x:c r="A34" s="27" t="n">
        <x:v>30</x:v>
      </x:c>
      <x:c r="B34" s="27" t="str">
        <x:v>25-36</x:v>
      </x:c>
      <x:c r="C34" s="58" t="n">
        <x:v>2.5</x:v>
      </x:c>
      <x:c r="D34" s="30" t="n">
        <x:f>D33*(1-'Supuestos'!$B$19)+C34</x:f>
        <x:v>36.01098815655689</x:v>
      </x:c>
      <x:c r="E34" s="33" t="n">
        <x:f>D34*'Supuestos'!$E$5+C34*'Supuestos'!$E$6</x:f>
        <x:v>14200213.559722567</x:v>
      </x:c>
      <x:c r="F34" s="33" t="n">
        <x:f>E34*(1-'Supuestos'!$B$18)-M34</x:f>
        <x:v>-1355824.8810274936</x:v>
      </x:c>
      <x:c r="G34" s="45" t="n">
        <x:v>4</x:v>
      </x:c>
      <x:c r="H34" s="30" t="n">
        <x:f>H33*(1-'Supuestos'!$B$20)+G34</x:f>
        <x:v>64.67564646873711</x:v>
      </x:c>
      <x:c r="I34" s="33" t="n">
        <x:f>H34*'Supuestos'!$E$5</x:f>
        <x:v>21681216.96571474</x:v>
      </x:c>
      <x:c r="J34" s="33" t="n">
        <x:f>G34*'Supuestos'!$E$6</x:f>
        <x:v>3405200</x:v>
      </x:c>
      <x:c r="K34" s="33" t="n">
        <x:f>I34+J34</x:f>
        <x:v>25086416.96571474</x:v>
      </x:c>
      <x:c r="L34" s="33" t="n">
        <x:f>K34*'Supuestos'!$B$18</x:f>
        <x:v>4515555.053828653</x:v>
      </x:c>
      <x:c r="M34" s="50" t="n">
        <x:v>13000000</x:v>
      </x:c>
      <x:c r="N34" s="33" t="n">
        <x:f>K34-L34-M34</x:f>
        <x:v>7570861.911886089</x:v>
      </x:c>
      <x:c r="O34" s="33" t="n">
        <x:f>O33+K34</x:f>
        <x:v>328509120.3942398</x:v>
      </x:c>
      <x:c r="P34" s="61" t="n">
        <x:v>6</x:v>
      </x:c>
      <x:c r="Q34" s="30" t="n">
        <x:f>Q33*(1-'Supuestos'!$B$21)+P34</x:f>
        <x:v>102.7489023417838</x:v>
      </x:c>
      <x:c r="R34" s="33" t="n">
        <x:f>Q34*'Supuestos'!$E$5+P34*'Supuestos'!$E$6</x:f>
        <x:v>39552314.532036185</x:v>
      </x:c>
      <x:c r="S34" s="33" t="n">
        <x:f>R34*(1-'Supuestos'!$B$18)-M34</x:f>
        <x:v>19432897.916269675</x:v>
      </x:c>
    </x:row>
    <x:row r="35">
      <x:c r="A35" s="27" t="n">
        <x:v>31</x:v>
      </x:c>
      <x:c r="B35" s="27" t="str">
        <x:v>25-36</x:v>
      </x:c>
      <x:c r="C35" s="58" t="n">
        <x:v>2.5</x:v>
      </x:c>
      <x:c r="D35" s="30" t="n">
        <x:f>D34*(1-'Supuestos'!$B$19)+C35</x:f>
        <x:v>37.97082333420854</x:v>
      </x:c>
      <x:c r="E35" s="33" t="n">
        <x:f>D35*'Supuestos'!$E$5+C35*'Supuestos'!$E$6</x:f>
        <x:v>14857209.106326729</x:v>
      </x:c>
      <x:c r="F35" s="33" t="n">
        <x:f>E35*(1-'Supuestos'!$B$18)-M35</x:f>
        <x:v>-817088.5328120813</x:v>
      </x:c>
      <x:c r="G35" s="45" t="n">
        <x:v>4</x:v>
      </x:c>
      <x:c r="H35" s="30" t="n">
        <x:f>H34*(1-'Supuestos'!$B$20)+G35</x:f>
        <x:v>68.02889000404974</x:v>
      </x:c>
      <x:c r="I35" s="33" t="n">
        <x:f>H35*'Supuestos'!$E$5</x:f>
        <x:v>22805324.796057597</x:v>
      </x:c>
      <x:c r="J35" s="33" t="n">
        <x:f>G35*'Supuestos'!$E$6</x:f>
        <x:v>3405200</x:v>
      </x:c>
      <x:c r="K35" s="33" t="n">
        <x:f>I35+J35</x:f>
        <x:v>26210524.796057597</x:v>
      </x:c>
      <x:c r="L35" s="33" t="n">
        <x:f>K35*'Supuestos'!$B$18</x:f>
        <x:v>4717894.463290367</x:v>
      </x:c>
      <x:c r="M35" s="50" t="n">
        <x:v>13000000</x:v>
      </x:c>
      <x:c r="N35" s="33" t="n">
        <x:f>K35-L35-M35</x:f>
        <x:v>8492630.33276723</x:v>
      </x:c>
      <x:c r="O35" s="33" t="n">
        <x:f>O34+K35</x:f>
        <x:v>354719645.19029737</x:v>
      </x:c>
      <x:c r="P35" s="61" t="n">
        <x:v>6</x:v>
      </x:c>
      <x:c r="Q35" s="30" t="n">
        <x:f>Q34*(1-'Supuestos'!$B$21)+P35</x:f>
        <x:v>108.02966002539132</x:v>
      </x:c>
      <x:c r="R35" s="33" t="n">
        <x:f>Q35*'Supuestos'!$E$5+P35*'Supuestos'!$E$6</x:f>
        <x:v>41322582.93031193</x:v>
      </x:c>
      <x:c r="S35" s="33" t="n">
        <x:f>R35*(1-'Supuestos'!$B$18)-M35</x:f>
        <x:v>20884518.002855785</x:v>
      </x:c>
    </x:row>
    <x:row r="36">
      <x:c r="A36" s="27" t="n">
        <x:v>32</x:v>
      </x:c>
      <x:c r="B36" s="27" t="str">
        <x:v>25-36</x:v>
      </x:c>
      <x:c r="C36" s="58" t="n">
        <x:v>2.5</x:v>
      </x:c>
      <x:c r="D36" s="30" t="n">
        <x:f>D35*(1-'Supuestos'!$B$19)+C36</x:f>
        <x:v>39.90126098419541</x:v>
      </x:c>
      <x:c r="E36" s="33" t="n">
        <x:f>D36*'Supuestos'!$E$5+C36*'Supuestos'!$E$6</x:f>
        <x:v>15504349.719731828</x:v>
      </x:c>
      <x:c r="F36" s="33" t="n">
        <x:f>E36*(1-'Supuestos'!$B$18)-M36</x:f>
        <x:v>-286433.2298198994</x:v>
      </x:c>
      <x:c r="G36" s="45" t="n">
        <x:v>4</x:v>
      </x:c>
      <x:c r="H36" s="30" t="n">
        <x:f>H35*(1-'Supuestos'!$B$20)+G36</x:f>
        <x:v>71.34860110400925</x:v>
      </x:c>
      <x:c r="I36" s="33" t="n">
        <x:f>H36*'Supuestos'!$E$5</x:f>
        <x:v>23918191.548097022</x:v>
      </x:c>
      <x:c r="J36" s="33" t="n">
        <x:f>G36*'Supuestos'!$E$6</x:f>
        <x:v>3405200</x:v>
      </x:c>
      <x:c r="K36" s="33" t="n">
        <x:f>I36+J36</x:f>
        <x:v>27323391.548097022</x:v>
      </x:c>
      <x:c r="L36" s="33" t="n">
        <x:f>K36*'Supuestos'!$B$18</x:f>
        <x:v>4918210.478657464</x:v>
      </x:c>
      <x:c r="M36" s="50" t="n">
        <x:v>13000000</x:v>
      </x:c>
      <x:c r="N36" s="33" t="n">
        <x:f>K36-L36-M36</x:f>
        <x:v>9405181.06943956</x:v>
      </x:c>
      <x:c r="O36" s="33" t="n">
        <x:f>O35+K36</x:f>
        <x:v>382043036.7383944</x:v>
      </x:c>
      <x:c r="P36" s="61" t="n">
        <x:v>6</x:v>
      </x:c>
      <x:c r="Q36" s="30" t="n">
        <x:f>Q35*(1-'Supuestos'!$B$21)+P36</x:f>
        <x:v>113.27345240521359</x:v>
      </x:c>
      <x:c r="R36" s="33" t="n">
        <x:f>Q36*'Supuestos'!$E$5+P36*'Supuestos'!$E$6</x:f>
        <x:v>43080459.449799754</x:v>
      </x:c>
      <x:c r="S36" s="33" t="n">
        <x:f>R36*(1-'Supuestos'!$B$18)-M36</x:f>
        <x:v>22325976.748835802</x:v>
      </x:c>
    </x:row>
    <x:row r="37">
      <x:c r="A37" s="27" t="n">
        <x:v>33</x:v>
      </x:c>
      <x:c r="B37" s="27" t="str">
        <x:v>25-36</x:v>
      </x:c>
      <x:c r="C37" s="58" t="n">
        <x:v>2.5</x:v>
      </x:c>
      <x:c r="D37" s="30" t="n">
        <x:f>D36*(1-'Supuestos'!$B$19)+C37</x:f>
        <x:v>41.802742069432476</x:v>
      </x:c>
      <x:c r="E37" s="33" t="n">
        <x:f>D37*'Supuestos'!$E$5+C37*'Supuestos'!$E$6</x:f>
        <x:v>16141783.223935848</x:v>
      </x:c>
      <x:c r="F37" s="33" t="n">
        <x:f>E37*(1-'Supuestos'!$B$18)-M37</x:f>
        <x:v>236262.24362739734</x:v>
      </x:c>
      <x:c r="G37" s="45" t="n">
        <x:v>4</x:v>
      </x:c>
      <x:c r="H37" s="30" t="n">
        <x:f>H36*(1-'Supuestos'!$B$20)+G37</x:f>
        <x:v>74.63511509296916</x:v>
      </x:c>
      <x:c r="I37" s="33" t="n">
        <x:f>H37*'Supuestos'!$E$5</x:f>
        <x:v>25019929.63261605</x:v>
      </x:c>
      <x:c r="J37" s="33" t="n">
        <x:f>G37*'Supuestos'!$E$6</x:f>
        <x:v>3405200</x:v>
      </x:c>
      <x:c r="K37" s="33" t="n">
        <x:f>I37+J37</x:f>
        <x:v>28425129.63261605</x:v>
      </x:c>
      <x:c r="L37" s="33" t="n">
        <x:f>K37*'Supuestos'!$B$18</x:f>
        <x:v>5116523.333870889</x:v>
      </x:c>
      <x:c r="M37" s="50" t="n">
        <x:v>13000000</x:v>
      </x:c>
      <x:c r="N37" s="33" t="n">
        <x:f>K37-L37-M37</x:f>
        <x:v>10308606.298745163</x:v>
      </x:c>
      <x:c r="O37" s="33" t="n">
        <x:f>O36+K37</x:f>
        <x:v>410468166.3710104</x:v>
      </x:c>
      <x:c r="P37" s="61" t="n">
        <x:v>6</x:v>
      </x:c>
      <x:c r="Q37" s="30" t="n">
        <x:f>Q36*(1-'Supuestos'!$B$21)+P37</x:f>
        <x:v>118.4805382383771</x:v>
      </x:c>
      <x:c r="R37" s="33" t="n">
        <x:f>Q37*'Supuestos'!$E$5+P37*'Supuestos'!$E$6</x:f>
        <x:v>44826030.833651155</x:v>
      </x:c>
      <x:c r="S37" s="33" t="n">
        <x:f>R37*(1-'Supuestos'!$B$18)-M37</x:f>
        <x:v>23757345.283593953</x:v>
      </x:c>
    </x:row>
    <x:row r="38">
      <x:c r="A38" s="27" t="n">
        <x:v>34</x:v>
      </x:c>
      <x:c r="B38" s="27" t="str">
        <x:v>25-36</x:v>
      </x:c>
      <x:c r="C38" s="58" t="n">
        <x:v>2.5</x:v>
      </x:c>
      <x:c r="D38" s="30" t="n">
        <x:f>D37*(1-'Supuestos'!$B$19)+C38</x:f>
        <x:v>43.67570093839099</x:v>
      </x:c>
      <x:c r="E38" s="33" t="n">
        <x:f>D38*'Supuestos'!$E$5+C38*'Supuestos'!$E$6</x:f>
        <x:v>16769655.22557681</x:v>
      </x:c>
      <x:c r="F38" s="33" t="n">
        <x:f>E38*(1-'Supuestos'!$B$18)-M38</x:f>
        <x:v>751117.2849729862</x:v>
      </x:c>
      <x:c r="G38" s="45" t="n">
        <x:v>4</x:v>
      </x:c>
      <x:c r="H38" s="30" t="n">
        <x:f>H37*(1-'Supuestos'!$B$20)+G38</x:f>
        <x:v>77.88876394203946</x:v>
      </x:c>
      <x:c r="I38" s="33" t="n">
        <x:f>H38*'Supuestos'!$E$5</x:f>
        <x:v>26110650.33628989</x:v>
      </x:c>
      <x:c r="J38" s="33" t="n">
        <x:f>G38*'Supuestos'!$E$6</x:f>
        <x:v>3405200</x:v>
      </x:c>
      <x:c r="K38" s="33" t="n">
        <x:f>I38+J38</x:f>
        <x:v>29515850.33628989</x:v>
      </x:c>
      <x:c r="L38" s="33" t="n">
        <x:f>K38*'Supuestos'!$B$18</x:f>
        <x:v>5312853.06053218</x:v>
      </x:c>
      <x:c r="M38" s="50" t="n">
        <x:v>13000000</x:v>
      </x:c>
      <x:c r="N38" s="33" t="n">
        <x:f>K38-L38-M38</x:f>
        <x:v>11202997.275757711</x:v>
      </x:c>
      <x:c r="O38" s="33" t="n">
        <x:f>O37+K38</x:f>
        <x:v>439984016.7073003</x:v>
      </x:c>
      <x:c r="P38" s="61" t="n">
        <x:v>6</x:v>
      </x:c>
      <x:c r="Q38" s="30" t="n">
        <x:f>Q37*(1-'Supuestos'!$B$21)+P38</x:f>
        <x:v>123.65117447070845</x:v>
      </x:c>
      <x:c r="R38" s="33" t="n">
        <x:f>Q38*'Supuestos'!$E$5+P38*'Supuestos'!$E$6</x:f>
        <x:v>46559383.21781559</x:v>
      </x:c>
      <x:c r="S38" s="33" t="n">
        <x:f>R38*(1-'Supuestos'!$B$18)-M38</x:f>
        <x:v>25178694.238608792</x:v>
      </x:c>
    </x:row>
    <x:row r="39">
      <x:c r="A39" s="27" t="n">
        <x:v>35</x:v>
      </x:c>
      <x:c r="B39" s="27" t="str">
        <x:v>25-36</x:v>
      </x:c>
      <x:c r="C39" s="58" t="n">
        <x:v>2.5</x:v>
      </x:c>
      <x:c r="D39" s="30" t="n">
        <x:f>D38*(1-'Supuestos'!$B$19)+C39</x:f>
        <x:v>45.52056542431512</x:v>
      </x:c>
      <x:c r="E39" s="33" t="n">
        <x:f>D39*'Supuestos'!$E$5+C39*'Supuestos'!$E$6</x:f>
        <x:v>17388109.147193156</x:v>
      </x:c>
      <x:c r="F39" s="33" t="n">
        <x:f>E39*(1-'Supuestos'!$B$18)-M39</x:f>
        <x:v>1258249.5006983895</x:v>
      </x:c>
      <x:c r="G39" s="45" t="n">
        <x:v>4</x:v>
      </x:c>
      <x:c r="H39" s="30" t="n">
        <x:f>H38*(1-'Supuestos'!$B$20)+G39</x:f>
        <x:v>81.10987630261907</x:v>
      </x:c>
      <x:c r="I39" s="33" t="n">
        <x:f>H39*'Supuestos'!$E$5</x:f>
        <x:v>27190463.832926992</x:v>
      </x:c>
      <x:c r="J39" s="33" t="n">
        <x:f>G39*'Supuestos'!$E$6</x:f>
        <x:v>3405200</x:v>
      </x:c>
      <x:c r="K39" s="33" t="n">
        <x:f>I39+J39</x:f>
        <x:v>30595663.832926992</x:v>
      </x:c>
      <x:c r="L39" s="33" t="n">
        <x:f>K39*'Supuestos'!$B$18</x:f>
        <x:v>5507219.489926859</x:v>
      </x:c>
      <x:c r="M39" s="50" t="n">
        <x:v>13000000</x:v>
      </x:c>
      <x:c r="N39" s="33" t="n">
        <x:f>K39-L39-M39</x:f>
        <x:v>12088444.343000133</x:v>
      </x:c>
      <x:c r="O39" s="33" t="n">
        <x:f>O38+K39</x:f>
        <x:v>470579680.5402273</x:v>
      </x:c>
      <x:c r="P39" s="61" t="n">
        <x:v>6</x:v>
      </x:c>
      <x:c r="Q39" s="30" t="n">
        <x:f>Q38*(1-'Supuestos'!$B$21)+P39</x:f>
        <x:v>128.7856162494135</x:v>
      </x:c>
      <x:c r="R39" s="33" t="n">
        <x:f>Q39*'Supuestos'!$E$5+P39*'Supuestos'!$E$6</x:f>
        <x:v>48280602.13529088</x:v>
      </x:c>
      <x:c r="S39" s="33" t="n">
        <x:f>R39*(1-'Supuestos'!$B$18)-M39</x:f>
        <x:v>26590093.750938527</x:v>
      </x:c>
    </x:row>
    <x:row r="40">
      <x:c r="A40" s="27" t="n">
        <x:v>36</x:v>
      </x:c>
      <x:c r="B40" s="27" t="str">
        <x:v>25-36</x:v>
      </x:c>
      <x:c r="C40" s="58" t="n">
        <x:v>2.5</x:v>
      </x:c>
      <x:c r="D40" s="30" t="n">
        <x:f>D39*(1-'Supuestos'!$B$19)+C40</x:f>
        <x:v>47.33775694295039</x:v>
      </x:c>
      <x:c r="E40" s="33" t="n">
        <x:f>D40*'Supuestos'!$E$5+C40*'Supuestos'!$E$6</x:f>
        <x:v>17997286.25998526</x:v>
      </x:c>
      <x:c r="F40" s="33" t="n">
        <x:f>E40*(1-'Supuestos'!$B$18)-M40</x:f>
        <x:v>1757774.7331879158</x:v>
      </x:c>
      <x:c r="G40" s="45" t="n">
        <x:v>4</x:v>
      </x:c>
      <x:c r="H40" s="30" t="n">
        <x:f>H39*(1-'Supuestos'!$B$20)+G40</x:f>
        <x:v>84.29877753959288</x:v>
      </x:c>
      <x:c r="I40" s="33" t="n">
        <x:f>H40*'Supuestos'!$E$5</x:f>
        <x:v>28259479.19459772</x:v>
      </x:c>
      <x:c r="J40" s="33" t="n">
        <x:f>G40*'Supuestos'!$E$6</x:f>
        <x:v>3405200</x:v>
      </x:c>
      <x:c r="K40" s="33" t="n">
        <x:f>I40+J40</x:f>
        <x:v>31664679.19459772</x:v>
      </x:c>
      <x:c r="L40" s="33" t="n">
        <x:f>K40*'Supuestos'!$B$18</x:f>
        <x:v>5699642.255027589</x:v>
      </x:c>
      <x:c r="M40" s="50" t="n">
        <x:v>13000000</x:v>
      </x:c>
      <x:c r="N40" s="33" t="n">
        <x:f>K40-L40-M40</x:f>
        <x:v>12965036.939570133</x:v>
      </x:c>
      <x:c r="O40" s="33" t="n">
        <x:f>O39+K40</x:f>
        <x:v>502244359.734825</x:v>
      </x:c>
      <x:c r="P40" s="61" t="n">
        <x:v>6</x:v>
      </x:c>
      <x:c r="Q40" s="30" t="n">
        <x:f>Q39*(1-'Supuestos'!$B$21)+P40</x:f>
        <x:v>133.88411693566758</x:v>
      </x:c>
      <x:c r="R40" s="33" t="n">
        <x:f>Q40*'Supuestos'!$E$5+P40*'Supuestos'!$E$6</x:f>
        <x:v>49989772.52034384</x:v>
      </x:c>
      <x:c r="S40" s="33" t="n">
        <x:f>R40*(1-'Supuestos'!$B$18)-M40</x:f>
        <x:v>27991613.46668195</x:v>
      </x:c>
    </x:row>
    <x:row r="41">
      <x:c r="A41" s="27" t="n">
        <x:v>37</x:v>
      </x:c>
      <x:c r="B41" s="27" t="str">
        <x:v>37-48</x:v>
      </x:c>
      <x:c r="C41" s="58" t="n">
        <x:v>3</x:v>
      </x:c>
      <x:c r="D41" s="30" t="n">
        <x:f>D40*(1-'Supuestos'!$B$19)+C41</x:f>
        <x:v>49.62769058880613</x:v>
      </x:c>
      <x:c r="E41" s="33" t="n">
        <x:f>D41*'Supuestos'!$E$5+C41*'Supuestos'!$E$6</x:f>
        <x:v>19190590.71608548</x:v>
      </x:c>
      <x:c r="F41" s="33" t="n">
        <x:f>E41*(1-'Supuestos'!$B$18)-M41</x:f>
        <x:v>-2263715.612809906</x:v>
      </x:c>
      <x:c r="G41" s="45" t="n">
        <x:v>5</x:v>
      </x:c>
      <x:c r="H41" s="30" t="n">
        <x:f>H40*(1-'Supuestos'!$B$20)+G41</x:f>
        <x:v>88.45578976419695</x:v>
      </x:c>
      <x:c r="I41" s="33" t="n">
        <x:f>H41*'Supuestos'!$E$5</x:f>
        <x:v>29653034.402651742</x:v>
      </x:c>
      <x:c r="J41" s="33" t="n">
        <x:f>G41*'Supuestos'!$E$6</x:f>
        <x:v>4256500</x:v>
      </x:c>
      <x:c r="K41" s="33" t="n">
        <x:f>I41+J41</x:f>
        <x:v>33909534.40265174</x:v>
      </x:c>
      <x:c r="L41" s="33" t="n">
        <x:f>K41*'Supuestos'!$B$18</x:f>
        <x:v>6103716.192477314</x:v>
      </x:c>
      <x:c r="M41" s="50" t="n">
        <x:v>18000000</x:v>
      </x:c>
      <x:c r="N41" s="33" t="n">
        <x:f>K41-L41-M41</x:f>
        <x:v>9805818.210174426</x:v>
      </x:c>
      <x:c r="O41" s="33" t="n">
        <x:f>O40+K41</x:f>
        <x:v>536153894.13747674</x:v>
      </x:c>
      <x:c r="P41" s="61" t="n">
        <x:v>8</x:v>
      </x:c>
      <x:c r="Q41" s="30" t="n">
        <x:f>Q40*(1-'Supuestos'!$B$21)+P41</x:f>
        <x:v>140.9469281171179</x:v>
      </x:c>
      <x:c r="R41" s="33" t="n">
        <x:f>Q41*'Supuestos'!$E$5+P41*'Supuestos'!$E$6</x:f>
        <x:v>54060038.71270143</x:v>
      </x:c>
      <x:c r="S41" s="33" t="n">
        <x:f>R41*(1-'Supuestos'!$B$18)-M41</x:f>
        <x:v>26329231.74441518</x:v>
      </x:c>
    </x:row>
    <x:row r="42">
      <x:c r="A42" s="27" t="n">
        <x:v>38</x:v>
      </x:c>
      <x:c r="B42" s="27" t="str">
        <x:v>37-48</x:v>
      </x:c>
      <x:c r="C42" s="58" t="n">
        <x:v>3</x:v>
      </x:c>
      <x:c r="D42" s="30" t="n">
        <x:f>D41*(1-'Supuestos'!$B$19)+C42</x:f>
        <x:v>51.88327522997404</x:v>
      </x:c>
      <x:c r="E42" s="33" t="n">
        <x:f>D42*'Supuestos'!$E$5+C42*'Supuestos'!$E$6</x:f>
        <x:v>19946730.3553442</x:v>
      </x:c>
      <x:c r="F42" s="33" t="n">
        <x:f>E42*(1-'Supuestos'!$B$18)-M42</x:f>
        <x:v>-1643681.1086177565</x:v>
      </x:c>
      <x:c r="G42" s="45" t="n">
        <x:v>5</x:v>
      </x:c>
      <x:c r="H42" s="30" t="n">
        <x:f>H41*(1-'Supuestos'!$B$20)+G42</x:f>
        <x:v>92.57123186655498</x:v>
      </x:c>
      <x:c r="I42" s="33" t="n">
        <x:f>H42*'Supuestos'!$E$5</x:f>
        <x:v>31032654.058625225</x:v>
      </x:c>
      <x:c r="J42" s="33" t="n">
        <x:f>G42*'Supuestos'!$E$6</x:f>
        <x:v>4256500</x:v>
      </x:c>
      <x:c r="K42" s="33" t="n">
        <x:f>I42+J42</x:f>
        <x:v>35289154.05862522</x:v>
      </x:c>
      <x:c r="L42" s="33" t="n">
        <x:f>K42*'Supuestos'!$B$18</x:f>
        <x:v>6352047.730552539</x:v>
      </x:c>
      <x:c r="M42" s="50" t="n">
        <x:v>18000000</x:v>
      </x:c>
      <x:c r="N42" s="33" t="n">
        <x:f>K42-L42-M42</x:f>
        <x:v>10937106.328072682</x:v>
      </x:c>
      <x:c r="O42" s="33" t="n">
        <x:f>O41+K42</x:f>
        <x:v>571443048.1961019</x:v>
      </x:c>
      <x:c r="P42" s="61" t="n">
        <x:v>8</x:v>
      </x:c>
      <x:c r="Q42" s="30" t="n">
        <x:f>Q41*(1-'Supuestos'!$B$21)+P42</x:f>
        <x:v>147.96029962029806</x:v>
      </x:c>
      <x:c r="R42" s="33" t="n">
        <x:f>Q42*'Supuestos'!$E$5+P42*'Supuestos'!$E$6</x:f>
        <x:v>56411131.24171252</x:v>
      </x:c>
      <x:c r="S42" s="33" t="n">
        <x:f>R42*(1-'Supuestos'!$B$18)-M42</x:f>
        <x:v>28257127.618204266</x:v>
      </x:c>
    </x:row>
    <x:row r="43">
      <x:c r="A43" s="27" t="n">
        <x:v>39</x:v>
      </x:c>
      <x:c r="B43" s="27" t="str">
        <x:v>37-48</x:v>
      </x:c>
      <x:c r="C43" s="58" t="n">
        <x:v>3</x:v>
      </x:c>
      <x:c r="D43" s="30" t="n">
        <x:f>D42*(1-'Supuestos'!$B$19)+C43</x:f>
        <x:v>54.10502610152443</x:v>
      </x:c>
      <x:c r="E43" s="33" t="n">
        <x:f>D43*'Supuestos'!$E$5+C43*'Supuestos'!$E$6</x:f>
        <x:v>20691527.900014035</x:v>
      </x:c>
      <x:c r="F43" s="33" t="n">
        <x:f>E43*(1-'Supuestos'!$B$18)-M43</x:f>
        <x:v>-1032947.1219884902</x:v>
      </x:c>
      <x:c r="G43" s="45" t="n">
        <x:v>5</x:v>
      </x:c>
      <x:c r="H43" s="30" t="n">
        <x:f>H42*(1-'Supuestos'!$B$20)+G43</x:f>
        <x:v>96.64551954788944</x:v>
      </x:c>
      <x:c r="I43" s="33" t="n">
        <x:f>H43*'Supuestos'!$E$5</x:f>
        <x:v>32398477.518038977</x:v>
      </x:c>
      <x:c r="J43" s="33" t="n">
        <x:f>G43*'Supuestos'!$E$6</x:f>
        <x:v>4256500</x:v>
      </x:c>
      <x:c r="K43" s="33" t="n">
        <x:f>I43+J43</x:f>
        <x:v>36654977.51803897</x:v>
      </x:c>
      <x:c r="L43" s="33" t="n">
        <x:f>K43*'Supuestos'!$B$18</x:f>
        <x:v>6597895.953247015</x:v>
      </x:c>
      <x:c r="M43" s="50" t="n">
        <x:v>18000000</x:v>
      </x:c>
      <x:c r="N43" s="33" t="n">
        <x:f>K43-L43-M43</x:f>
        <x:v>12057081.564791959</x:v>
      </x:c>
      <x:c r="O43" s="33" t="n">
        <x:f>O42+K43</x:f>
        <x:v>608098025.7141409</x:v>
      </x:c>
      <x:c r="P43" s="61" t="n">
        <x:v>8</x:v>
      </x:c>
      <x:c r="Q43" s="30" t="n">
        <x:f>Q42*(1-'Supuestos'!$B$21)+P43</x:f>
        <x:v>154.92457752295599</x:v>
      </x:c>
      <x:c r="R43" s="33" t="n">
        <x:f>Q43*'Supuestos'!$E$5+P43*'Supuestos'!$E$6</x:f>
        <x:v>58745766.12302054</x:v>
      </x:c>
      <x:c r="S43" s="33" t="n">
        <x:f>R43*(1-'Supuestos'!$B$18)-M43</x:f>
        <x:v>30171528.220876843</x:v>
      </x:c>
    </x:row>
    <x:row r="44">
      <x:c r="A44" s="27" t="n">
        <x:v>40</x:v>
      </x:c>
      <x:c r="B44" s="27" t="str">
        <x:v>37-48</x:v>
      </x:c>
      <x:c r="C44" s="58" t="n">
        <x:v>3</x:v>
      </x:c>
      <x:c r="D44" s="30" t="n">
        <x:f>D43*(1-'Supuestos'!$B$19)+C44</x:f>
        <x:v>56.293450710001565</x:v>
      </x:c>
      <x:c r="E44" s="33" t="n">
        <x:f>D44*'Supuestos'!$E$5+C44*'Supuestos'!$E$6</x:f>
        <x:v>21425153.481513824</x:v>
      </x:c>
      <x:c r="F44" s="33" t="n">
        <x:f>E44*(1-'Supuestos'!$B$18)-M44</x:f>
        <x:v>-431374.1451586634</x:v>
      </x:c>
      <x:c r="G44" s="45" t="n">
        <x:v>5</x:v>
      </x:c>
      <x:c r="H44" s="30" t="n">
        <x:f>H43*(1-'Supuestos'!$B$20)+G44</x:f>
        <x:v>100.67906435241053</x:v>
      </x:c>
      <x:c r="I44" s="33" t="n">
        <x:f>H44*'Supuestos'!$E$5</x:f>
        <x:v>33750642.74285858</x:v>
      </x:c>
      <x:c r="J44" s="33" t="n">
        <x:f>G44*'Supuestos'!$E$6</x:f>
        <x:v>4256500</x:v>
      </x:c>
      <x:c r="K44" s="33" t="n">
        <x:f>I44+J44</x:f>
        <x:v>38007142.74285858</x:v>
      </x:c>
      <x:c r="L44" s="33" t="n">
        <x:f>K44*'Supuestos'!$B$18</x:f>
        <x:v>6841285.693714544</x:v>
      </x:c>
      <x:c r="M44" s="50" t="n">
        <x:v>18000000</x:v>
      </x:c>
      <x:c r="N44" s="33" t="n">
        <x:f>K44-L44-M44</x:f>
        <x:v>13165857.049144037</x:v>
      </x:c>
      <x:c r="O44" s="33" t="n">
        <x:f>O43+K44</x:f>
        <x:v>646105168.4569994</x:v>
      </x:c>
      <x:c r="P44" s="61" t="n">
        <x:v>8</x:v>
      </x:c>
      <x:c r="Q44" s="30" t="n">
        <x:f>Q43*(1-'Supuestos'!$B$21)+P44</x:f>
        <x:v>161.84010548029528</x:v>
      </x:c>
      <x:c r="R44" s="33" t="n">
        <x:f>Q44*'Supuestos'!$E$5+P44*'Supuestos'!$E$6</x:f>
        <x:v>61064058.560159385</x:v>
      </x:c>
      <x:c r="S44" s="33" t="n">
        <x:f>R44*(1-'Supuestos'!$B$18)-M44</x:f>
        <x:v>32072528.019330703</x:v>
      </x:c>
    </x:row>
    <x:row r="45">
      <x:c r="A45" s="27" t="n">
        <x:v>41</x:v>
      </x:c>
      <x:c r="B45" s="27" t="str">
        <x:v>37-48</x:v>
      </x:c>
      <x:c r="C45" s="58" t="n">
        <x:v>3</x:v>
      </x:c>
      <x:c r="D45" s="30" t="n">
        <x:f>D44*(1-'Supuestos'!$B$19)+C45</x:f>
        <x:v>58.44904894935154</x:v>
      </x:c>
      <x:c r="E45" s="33" t="n">
        <x:f>D45*'Supuestos'!$E$5+C45*'Supuestos'!$E$6</x:f>
        <x:v>22147774.679291118</x:v>
      </x:c>
      <x:c r="F45" s="33" t="n">
        <x:f>E45*(1-'Supuestos'!$B$18)-M45</x:f>
        <x:v>161175.23701871932</x:v>
      </x:c>
      <x:c r="G45" s="45" t="n">
        <x:v>5</x:v>
      </x:c>
      <x:c r="H45" s="30" t="n">
        <x:f>H44*(1-'Supuestos'!$B$20)+G45</x:f>
        <x:v>104.67227370888642</x:v>
      </x:c>
      <x:c r="I45" s="33" t="n">
        <x:f>H45*'Supuestos'!$E$5</x:f>
        <x:v>35089286.31542999</x:v>
      </x:c>
      <x:c r="J45" s="33" t="n">
        <x:f>G45*'Supuestos'!$E$6</x:f>
        <x:v>4256500</x:v>
      </x:c>
      <x:c r="K45" s="33" t="n">
        <x:f>I45+J45</x:f>
        <x:v>39345786.31542999</x:v>
      </x:c>
      <x:c r="L45" s="33" t="n">
        <x:f>K45*'Supuestos'!$B$18</x:f>
        <x:v>7082241.536777399</x:v>
      </x:c>
      <x:c r="M45" s="50" t="n">
        <x:v>18000000</x:v>
      </x:c>
      <x:c r="N45" s="33" t="n">
        <x:f>K45-L45-M45</x:f>
        <x:v>14263544.778652593</x:v>
      </x:c>
      <x:c r="O45" s="33" t="n">
        <x:f>O44+K45</x:f>
        <x:v>685450954.7724295</x:v>
      </x:c>
      <x:c r="P45" s="61" t="n">
        <x:v>8</x:v>
      </x:c>
      <x:c r="Q45" s="30" t="n">
        <x:f>Q44*(1-'Supuestos'!$B$21)+P45</x:f>
        <x:v>168.7072247419332</x:v>
      </x:c>
      <x:c r="R45" s="33" t="n">
        <x:f>Q45*'Supuestos'!$E$5+P45*'Supuestos'!$E$6</x:f>
        <x:v>63366122.950238265</x:v>
      </x:c>
      <x:c r="S45" s="33" t="n">
        <x:f>R45*(1-'Supuestos'!$B$18)-M45</x:f>
        <x:v>33960220.81919538</x:v>
      </x:c>
    </x:row>
    <x:row r="46">
      <x:c r="A46" s="27" t="n">
        <x:v>42</x:v>
      </x:c>
      <x:c r="B46" s="27" t="str">
        <x:v>37-48</x:v>
      </x:c>
      <x:c r="C46" s="58" t="n">
        <x:v>3</x:v>
      </x:c>
      <x:c r="D46" s="30" t="n">
        <x:f>D45*(1-'Supuestos'!$B$19)+C46</x:f>
        <x:v>60.57231321511127</x:v>
      </x:c>
      <x:c r="E46" s="33" t="n">
        <x:f>D46*'Supuestos'!$E$5+C46*'Supuestos'!$E$6</x:f>
        <x:v>22859556.559101753</x:v>
      </x:c>
      <x:c r="F46" s="33" t="n">
        <x:f>E46*(1-'Supuestos'!$B$18)-M46</x:f>
        <x:v>744836.3784634396</x:v>
      </x:c>
      <x:c r="G46" s="45" t="n">
        <x:v>5</x:v>
      </x:c>
      <x:c r="H46" s="30" t="n">
        <x:f>H45*(1-'Supuestos'!$B$20)+G46</x:f>
        <x:v>108.62555097179755</x:v>
      </x:c>
      <x:c r="I46" s="33" t="n">
        <x:f>H46*'Supuestos'!$E$5</x:f>
        <x:v>36414543.45227569</x:v>
      </x:c>
      <x:c r="J46" s="33" t="n">
        <x:f>G46*'Supuestos'!$E$6</x:f>
        <x:v>4256500</x:v>
      </x:c>
      <x:c r="K46" s="33" t="n">
        <x:f>I46+J46</x:f>
        <x:v>40671043.45227569</x:v>
      </x:c>
      <x:c r="L46" s="33" t="n">
        <x:f>K46*'Supuestos'!$B$18</x:f>
        <x:v>7320787.821409625</x:v>
      </x:c>
      <x:c r="M46" s="50" t="n">
        <x:v>18000000</x:v>
      </x:c>
      <x:c r="N46" s="33" t="n">
        <x:f>K46-L46-M46</x:f>
        <x:v>15350255.63086607</x:v>
      </x:c>
      <x:c r="O46" s="33" t="n">
        <x:f>O45+K46</x:f>
        <x:v>726121998.2247052</x:v>
      </x:c>
      <x:c r="P46" s="61" t="n">
        <x:v>8</x:v>
      </x:c>
      <x:c r="Q46" s="30" t="n">
        <x:f>Q45*(1-'Supuestos'!$B$21)+P46</x:f>
        <x:v>175.52627416873966</x:v>
      </x:c>
      <x:c r="R46" s="33" t="n">
        <x:f>Q46*'Supuestos'!$E$5+P46*'Supuestos'!$E$6</x:f>
        <x:v>65652072.8895866</x:v>
      </x:c>
      <x:c r="S46" s="33" t="n">
        <x:f>R46*(1-'Supuestos'!$B$18)-M46</x:f>
        <x:v>35834699.76946101</x:v>
      </x:c>
    </x:row>
    <x:row r="47">
      <x:c r="A47" s="27" t="n">
        <x:v>43</x:v>
      </x:c>
      <x:c r="B47" s="27" t="str">
        <x:v>37-48</x:v>
      </x:c>
      <x:c r="C47" s="58" t="n">
        <x:v>3</x:v>
      </x:c>
      <x:c r="D47" s="30" t="n">
        <x:f>D46*(1-'Supuestos'!$B$19)+C47</x:f>
        <x:v>62.6637285168846</x:v>
      </x:c>
      <x:c r="E47" s="33" t="n">
        <x:f>D47*'Supuestos'!$E$5+C47*'Supuestos'!$E$6</x:f>
        <x:v>23560661.710715227</x:v>
      </x:c>
      <x:c r="F47" s="33" t="n">
        <x:f>E47*(1-'Supuestos'!$B$18)-M47</x:f>
        <x:v>1319742.6027864888</x:v>
      </x:c>
      <x:c r="G47" s="45" t="n">
        <x:v>5</x:v>
      </x:c>
      <x:c r="H47" s="30" t="n">
        <x:f>H46*(1-'Supuestos'!$B$20)+G47</x:f>
        <x:v>112.53929546207958</x:v>
      </x:c>
      <x:c r="I47" s="33" t="n">
        <x:f>H47*'Supuestos'!$E$5</x:f>
        <x:v>37726548.01775294</x:v>
      </x:c>
      <x:c r="J47" s="33" t="n">
        <x:f>G47*'Supuestos'!$E$6</x:f>
        <x:v>4256500</x:v>
      </x:c>
      <x:c r="K47" s="33" t="n">
        <x:f>I47+J47</x:f>
        <x:v>41983048.01775294</x:v>
      </x:c>
      <x:c r="L47" s="33" t="n">
        <x:f>K47*'Supuestos'!$B$18</x:f>
        <x:v>7556948.643195529</x:v>
      </x:c>
      <x:c r="M47" s="50" t="n">
        <x:v>18000000</x:v>
      </x:c>
      <x:c r="N47" s="33" t="n">
        <x:f>K47-L47-M47</x:f>
        <x:v>16426099.374557406</x:v>
      </x:c>
      <x:c r="O47" s="33" t="n">
        <x:f>O46+K47</x:f>
        <x:v>768105046.2424581</x:v>
      </x:c>
      <x:c r="P47" s="61" t="n">
        <x:v>8</x:v>
      </x:c>
      <x:c r="Q47" s="30" t="n">
        <x:f>Q46*(1-'Supuestos'!$B$21)+P47</x:f>
        <x:v>182.29759024955848</x:v>
      </x:c>
      <x:c r="R47" s="33" t="n">
        <x:f>Q47*'Supuestos'!$E$5+P47*'Supuestos'!$E$6</x:f>
        <x:v>67922021.1793595</x:v>
      </x:c>
      <x:c r="S47" s="33" t="n">
        <x:f>R47*(1-'Supuestos'!$B$18)-M47</x:f>
        <x:v>37696057.36707479</x:v>
      </x:c>
    </x:row>
    <x:row r="48">
      <x:c r="A48" s="27" t="n">
        <x:v>44</x:v>
      </x:c>
      <x:c r="B48" s="27" t="str">
        <x:v>37-48</x:v>
      </x:c>
      <x:c r="C48" s="58" t="n">
        <x:v>3</x:v>
      </x:c>
      <x:c r="D48" s="30" t="n">
        <x:f>D47*(1-'Supuestos'!$B$19)+C48</x:f>
        <x:v>64.72377258913133</x:v>
      </x:c>
      <x:c r="E48" s="33" t="n">
        <x:f>D48*'Supuestos'!$E$5+C48*'Supuestos'!$E$6</x:f>
        <x:v>24251250.285054494</x:v>
      </x:c>
      <x:c r="F48" s="33" t="n">
        <x:f>E48*(1-'Supuestos'!$B$18)-M48</x:f>
        <x:v>1886025.2337446846</x:v>
      </x:c>
      <x:c r="G48" s="45" t="n">
        <x:v>5</x:v>
      </x:c>
      <x:c r="H48" s="30" t="n">
        <x:f>H47*(1-'Supuestos'!$B$20)+G48</x:f>
        <x:v>116.41390250745879</x:v>
      </x:c>
      <x:c r="I48" s="33" t="n">
        <x:f>H48*'Supuestos'!$E$5</x:f>
        <x:v>39025432.53757541</x:v>
      </x:c>
      <x:c r="J48" s="33" t="n">
        <x:f>G48*'Supuestos'!$E$6</x:f>
        <x:v>4256500</x:v>
      </x:c>
      <x:c r="K48" s="33" t="n">
        <x:f>I48+J48</x:f>
        <x:v>43281932.53757541</x:v>
      </x:c>
      <x:c r="L48" s="33" t="n">
        <x:f>K48*'Supuestos'!$B$18</x:f>
        <x:v>7790747.856763573</x:v>
      </x:c>
      <x:c r="M48" s="50" t="n">
        <x:v>18000000</x:v>
      </x:c>
      <x:c r="N48" s="33" t="n">
        <x:f>K48-L48-M48</x:f>
        <x:v>17491184.680811837</x:v>
      </x:c>
      <x:c r="O48" s="33" t="n">
        <x:f>O47+K48</x:f>
        <x:v>811386978.7800335</x:v>
      </x:c>
      <x:c r="P48" s="61" t="n">
        <x:v>8</x:v>
      </x:c>
      <x:c r="Q48" s="30" t="n">
        <x:f>Q47*(1-'Supuestos'!$B$21)+P48</x:f>
        <x:v>189.02150711781158</x:v>
      </x:c>
      <x:c r="R48" s="33" t="n">
        <x:f>Q48*'Supuestos'!$E$5+P48*'Supuestos'!$E$6</x:f>
        <x:v>70176079.83110398</x:v>
      </x:c>
      <x:c r="S48" s="33" t="n">
        <x:f>R48*(1-'Supuestos'!$B$18)-M48</x:f>
        <x:v>39544385.46150527</x:v>
      </x:c>
    </x:row>
    <x:row r="49">
      <x:c r="A49" s="27" t="n">
        <x:v>45</x:v>
      </x:c>
      <x:c r="B49" s="27" t="str">
        <x:v>37-48</x:v>
      </x:c>
      <x:c r="C49" s="58" t="n">
        <x:v>3</x:v>
      </x:c>
      <x:c r="D49" s="30" t="n">
        <x:f>D48*(1-'Supuestos'!$B$19)+C49</x:f>
        <x:v>66.75291600029436</x:v>
      </x:c>
      <x:c r="E49" s="33" t="n">
        <x:f>D49*'Supuestos'!$E$5+C49*'Supuestos'!$E$6</x:f>
        <x:v>24931480.03077868</x:v>
      </x:c>
      <x:c r="F49" s="33" t="n">
        <x:f>E49*(1-'Supuestos'!$B$18)-M49</x:f>
        <x:v>2443813.625238519</x:v>
      </x:c>
      <x:c r="G49" s="45" t="n">
        <x:v>5</x:v>
      </x:c>
      <x:c r="H49" s="30" t="n">
        <x:f>H48*(1-'Supuestos'!$B$20)+G49</x:f>
        <x:v>120.2497634823842</x:v>
      </x:c>
      <x:c r="I49" s="33" t="n">
        <x:f>H49*'Supuestos'!$E$5</x:f>
        <x:v>40311328.21219965</x:v>
      </x:c>
      <x:c r="J49" s="33" t="n">
        <x:f>G49*'Supuestos'!$E$6</x:f>
        <x:v>4256500</x:v>
      </x:c>
      <x:c r="K49" s="33" t="n">
        <x:f>I49+J49</x:f>
        <x:v>44567828.21219965</x:v>
      </x:c>
      <x:c r="L49" s="33" t="n">
        <x:f>K49*'Supuestos'!$B$18</x:f>
        <x:v>8022209.078195937</x:v>
      </x:c>
      <x:c r="M49" s="50" t="n">
        <x:v>18000000</x:v>
      </x:c>
      <x:c r="N49" s="33" t="n">
        <x:f>K49-L49-M49</x:f>
        <x:v>18545619.134003714</x:v>
      </x:c>
      <x:c r="O49" s="33" t="n">
        <x:f>O48+K49</x:f>
        <x:v>855954806.9922332</x:v>
      </x:c>
      <x:c r="P49" s="61" t="n">
        <x:v>8</x:v>
      </x:c>
      <x:c r="Q49" s="30" t="n">
        <x:f>Q48*(1-'Supuestos'!$B$21)+P49</x:f>
        <x:v>195.6983565679869</x:v>
      </x:c>
      <x:c r="R49" s="33" t="n">
        <x:f>Q49*'Supuestos'!$E$5+P49*'Supuestos'!$E$6</x:f>
        <x:v>72414360.07228625</x:v>
      </x:c>
      <x:c r="S49" s="33" t="n">
        <x:f>R49*(1-'Supuestos'!$B$18)-M49</x:f>
        <x:v>41379775.25927473</x:v>
      </x:c>
    </x:row>
    <x:row r="50">
      <x:c r="A50" s="27" t="n">
        <x:v>46</x:v>
      </x:c>
      <x:c r="B50" s="27" t="str">
        <x:v>37-48</x:v>
      </x:c>
      <x:c r="C50" s="58" t="n">
        <x:v>3</x:v>
      </x:c>
      <x:c r="D50" s="30" t="n">
        <x:f>D49*(1-'Supuestos'!$B$19)+C50</x:f>
        <x:v>68.75162226028995</x:v>
      </x:c>
      <x:c r="E50" s="33" t="n">
        <x:f>D50*'Supuestos'!$E$5+C50*'Supuestos'!$E$6</x:f>
        <x:v>25601506.330316998</x:v>
      </x:c>
      <x:c r="F50" s="33" t="n">
        <x:f>E50*(1-'Supuestos'!$B$18)-M50</x:f>
        <x:v>2993235.19085994</x:v>
      </x:c>
      <x:c r="G50" s="45" t="n">
        <x:v>5</x:v>
      </x:c>
      <x:c r="H50" s="30" t="n">
        <x:f>H49*(1-'Supuestos'!$B$20)+G50</x:f>
        <x:v>124.04726584756035</x:v>
      </x:c>
      <x:c r="I50" s="33" t="n">
        <x:f>H50*'Supuestos'!$E$5</x:f>
        <x:v>41584364.93007766</x:v>
      </x:c>
      <x:c r="J50" s="33" t="n">
        <x:f>G50*'Supuestos'!$E$6</x:f>
        <x:v>4256500</x:v>
      </x:c>
      <x:c r="K50" s="33" t="n">
        <x:f>I50+J50</x:f>
        <x:v>45840864.93007766</x:v>
      </x:c>
      <x:c r="L50" s="33" t="n">
        <x:f>K50*'Supuestos'!$B$18</x:f>
        <x:v>8251355.687413978</x:v>
      </x:c>
      <x:c r="M50" s="50" t="n">
        <x:v>18000000</x:v>
      </x:c>
      <x:c r="N50" s="33" t="n">
        <x:f>K50-L50-M50</x:f>
        <x:v>19589509.24266368</x:v>
      </x:c>
      <x:c r="O50" s="33" t="n">
        <x:f>O49+K50</x:f>
        <x:v>901795671.9223108</x:v>
      </x:c>
      <x:c r="P50" s="61" t="n">
        <x:v>8</x:v>
      </x:c>
      <x:c r="Q50" s="30" t="n">
        <x:f>Q49*(1-'Supuestos'!$B$21)+P50</x:f>
        <x:v>202.328468072011</x:v>
      </x:c>
      <x:c r="R50" s="33" t="n">
        <x:f>Q50*'Supuestos'!$E$5+P50*'Supuestos'!$E$6</x:f>
        <x:v>74636972.35178025</x:v>
      </x:c>
      <x:c r="S50" s="33" t="n">
        <x:f>R50*(1-'Supuestos'!$B$18)-M50</x:f>
        <x:v>43202317.32845981</x:v>
      </x:c>
    </x:row>
    <x:row r="51">
      <x:c r="A51" s="27" t="n">
        <x:v>47</x:v>
      </x:c>
      <x:c r="B51" s="27" t="str">
        <x:v>37-48</x:v>
      </x:c>
      <x:c r="C51" s="58" t="n">
        <x:v>3</x:v>
      </x:c>
      <x:c r="D51" s="30" t="n">
        <x:f>D50*(1-'Supuestos'!$B$19)+C51</x:f>
        <x:v>70.7203479263856</x:v>
      </x:c>
      <x:c r="E51" s="33" t="n">
        <x:f>D51*'Supuestos'!$E$5+C51*'Supuestos'!$E$6</x:f>
        <x:v>26261482.235362243</x:v>
      </x:c>
      <x:c r="F51" s="33" t="n">
        <x:f>E51*(1-'Supuestos'!$B$18)-M51</x:f>
        <x:v>3534415.4329970405</x:v>
      </x:c>
      <x:c r="G51" s="45" t="n">
        <x:v>5</x:v>
      </x:c>
      <x:c r="H51" s="30" t="n">
        <x:f>H50*(1-'Supuestos'!$B$20)+G51</x:f>
        <x:v>127.80679318908474</x:v>
      </x:c>
      <x:c r="I51" s="33" t="n">
        <x:f>H51*'Supuestos'!$E$5</x:f>
        <x:v>42844671.28077688</x:v>
      </x:c>
      <x:c r="J51" s="33" t="n">
        <x:f>G51*'Supuestos'!$E$6</x:f>
        <x:v>4256500</x:v>
      </x:c>
      <x:c r="K51" s="33" t="n">
        <x:f>I51+J51</x:f>
        <x:v>47101171.28077688</x:v>
      </x:c>
      <x:c r="L51" s="33" t="n">
        <x:f>K51*'Supuestos'!$B$18</x:f>
        <x:v>8478210.830539837</x:v>
      </x:c>
      <x:c r="M51" s="50" t="n">
        <x:v>18000000</x:v>
      </x:c>
      <x:c r="N51" s="33" t="n">
        <x:f>K51-L51-M51</x:f>
        <x:v>20622960.450237043</x:v>
      </x:c>
      <x:c r="O51" s="33" t="n">
        <x:f>O50+K51</x:f>
        <x:v>948896843.2030877</x:v>
      </x:c>
      <x:c r="P51" s="61" t="n">
        <x:v>8</x:v>
      </x:c>
      <x:c r="Q51" s="30" t="n">
        <x:f>Q50*(1-'Supuestos'!$B$21)+P51</x:f>
        <x:v>208.91216879550691</x:v>
      </x:c>
      <x:c r="R51" s="33" t="n">
        <x:f>Q51*'Supuestos'!$E$5+P51*'Supuestos'!$E$6</x:f>
        <x:v>76844026.34531778</x:v>
      </x:c>
      <x:c r="S51" s="33" t="n">
        <x:f>R51*(1-'Supuestos'!$B$18)-M51</x:f>
        <x:v>45012101.60316058</x:v>
      </x:c>
    </x:row>
    <x:row r="52">
      <x:c r="A52" s="28" t="n">
        <x:v>48</x:v>
      </x:c>
      <x:c r="B52" s="28" t="str">
        <x:v>37-48</x:v>
      </x:c>
      <x:c r="C52" s="59" t="n">
        <x:v>3</x:v>
      </x:c>
      <x:c r="D52" s="31" t="n">
        <x:f>D51*(1-'Supuestos'!$B$19)+C52</x:f>
        <x:v>72.65954270748982</x:v>
      </x:c>
      <x:c r="E52" s="34" t="n">
        <x:f>D52*'Supuestos'!$E$5+C52*'Supuestos'!$E$6</x:f>
        <x:v>26911558.50183181</x:v>
      </x:c>
      <x:c r="F52" s="34" t="n">
        <x:f>E52*(1-'Supuestos'!$B$18)-M52</x:f>
        <x:v>4067477.971502088</x:v>
      </x:c>
      <x:c r="G52" s="46" t="n">
        <x:v>5</x:v>
      </x:c>
      <x:c r="H52" s="31" t="n">
        <x:f>H51*(1-'Supuestos'!$B$20)+G52</x:f>
        <x:v>131.5287252571939</x:v>
      </x:c>
      <x:c r="I52" s="34" t="n">
        <x:f>H52*'Supuestos'!$E$5</x:f>
        <x:v>44092374.56796911</x:v>
      </x:c>
      <x:c r="J52" s="34" t="n">
        <x:f>G52*'Supuestos'!$E$6</x:f>
        <x:v>4256500</x:v>
      </x:c>
      <x:c r="K52" s="34" t="n">
        <x:f>I52+J52</x:f>
        <x:v>48348874.56796911</x:v>
      </x:c>
      <x:c r="L52" s="34" t="n">
        <x:f>K52*'Supuestos'!$B$18</x:f>
        <x:v>8702797.42223444</x:v>
      </x:c>
      <x:c r="M52" s="64" t="n">
        <x:v>18000000</x:v>
      </x:c>
      <x:c r="N52" s="34" t="n">
        <x:f>K52-L52-M52</x:f>
        <x:v>21646077.145734675</x:v>
      </x:c>
      <x:c r="O52" s="34" t="n">
        <x:f>O51+K52</x:f>
        <x:v>997245717.7710568</x:v>
      </x:c>
      <x:c r="P52" s="62" t="n">
        <x:v>8</x:v>
      </x:c>
      <x:c r="Q52" s="31" t="n">
        <x:f>Q51*(1-'Supuestos'!$B$21)+P52</x:f>
        <x:v>215.44978361393837</x:v>
      </x:c>
      <x:c r="R52" s="34" t="n">
        <x:f>Q52*'Supuestos'!$E$5+P52*'Supuestos'!$E$6</x:f>
        <x:v>79035630.96090056</x:v>
      </x:c>
      <x:c r="S52" s="34" t="n">
        <x:f>R52*(1-'Supuestos'!$B$18)-M52</x:f>
        <x:v>46809217.38793846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39" hidden="0" customWidth="1"/>
    <x:col min="5" max="5" width="35" hidden="0" customWidth="1"/>
    <x:col min="6" max="6" width="46" hidden="0" customWidth="1"/>
    <x:col min="7" max="7" width="34" hidden="0" customWidth="1"/>
    <x:col min="8" max="8" width="48" hidden="0" customWidth="1"/>
  </x:cols>
  <x:sheetData>
    <x:row r="1" ht="32" customHeight="1">
      <x:c r="A1" s="3" t="str">
        <x:v>Hitos de crecimiento y capacidad</x:v>
      </x:c>
      <x:c r="B1" s="3"/>
      <x:c r="C1" s="3"/>
      <x:c r="D1" s="3"/>
      <x:c r="E1" s="3"/>
      <x:c r="F1" s="3"/>
      <x:c r="G1" s="3"/>
      <x:c r="H1" s="3"/>
    </x:row>
    <x:row r="2" ht="26" customHeight="1">
      <x:c r="A2" s="7" t="str">
        <x:v>Las contrataciones deben activarse por umbrales de MRR y clientes, no solo por calendario.</x:v>
      </x:c>
      <x:c r="B2" s="7"/>
      <x:c r="C2" s="7"/>
      <x:c r="D2" s="7"/>
      <x:c r="E2" s="7"/>
      <x:c r="F2" s="7"/>
      <x:c r="G2" s="7"/>
      <x:c r="H2" s="7"/>
    </x:row>
    <x:row r="4">
      <x:c r="A4" s="16" t="str">
        <x:v>Horizonte</x:v>
      </x:c>
      <x:c r="B4" s="17" t="str">
        <x:v>Objetivo clientes base</x:v>
      </x:c>
      <x:c r="C4" s="17" t="str">
        <x:v>Objetivo MRR</x:v>
      </x:c>
      <x:c r="D4" s="17" t="str">
        <x:v>Equipo sugerido</x:v>
      </x:c>
      <x:c r="E4" s="17" t="str">
        <x:v>Canal dominante</x:v>
      </x:c>
      <x:c r="F4" s="17" t="str">
        <x:v>Producto / operación</x:v>
      </x:c>
      <x:c r="G4" s="17" t="str">
        <x:v>Riesgo principal</x:v>
      </x:c>
      <x:c r="H4" s="18" t="str">
        <x:v>Decisión de inversión</x:v>
      </x:c>
    </x:row>
    <x:row r="5" ht="75" customHeight="1">
      <x:c r="A5" s="26" t="str">
        <x:v>12 meses</x:v>
      </x:c>
      <x:c r="B5" s="29" t="n">
        <x:f>'Proyeccion 48m'!H16</x:f>
        <x:v>17.213497888287073</x:v>
      </x:c>
      <x:c r="C5" s="32" t="n">
        <x:f>'Proyeccion 48m'!I16</x:f>
        <x:v>5770480.897090475</x:v>
      </x:c>
      <x:c r="D5" s="26" t="str">
        <x:v>Fundador comercial + 1 implementación + soporte parcial</x:v>
      </x:c>
      <x:c r="E5" s="26" t="str">
        <x:v>Venta directa, red minera y pilotos</x:v>
      </x:c>
      <x:c r="F5" s="26" t="str">
        <x:v>Producción segura, onboarding repetible, OCR piloto</x:v>
      </x:c>
      <x:c r="G5" s="26" t="str">
        <x:v>Ciclo de venta largo y producto inmaduro</x:v>
      </x:c>
      <x:c r="H5" s="26" t="str">
        <x:v>No escalar marketing hasta lograr 5 clientes activos y 3 referencias</x:v>
      </x:c>
    </x:row>
    <x:row r="6" ht="75" customHeight="1">
      <x:c r="A6" s="27" t="str">
        <x:v>24 meses</x:v>
      </x:c>
      <x:c r="B6" s="30" t="n">
        <x:f>'Proyeccion 48m'!H28</x:f>
        <x:v>43.832794834169334</x:v>
      </x:c>
      <x:c r="C6" s="33" t="n">
        <x:f>'Proyeccion 48m'!I28</x:f>
        <x:v>14694067.812258586</x:v>
      </x:c>
      <x:c r="D6" s="27" t="str">
        <x:v>2 ejecutivos comerciales + customer success + 2 producto/ingeniería</x:v>
      </x:c>
      <x:c r="E6" s="27" t="str">
        <x:v>Partners PRP/RRHH, gremios y referidos</x:v>
      </x:c>
      <x:c r="F6" s="27" t="str">
        <x:v>API, portal mandante, firma y acreditación inteligente</x:v>
      </x:c>
      <x:c r="G6" s="27" t="str">
        <x:v>Soporte artesanal y churn</x:v>
      </x:c>
      <x:c r="H6" s="27" t="str">
        <x:v>Crear playbook de implementación y SLA por plan</x:v>
      </x:c>
    </x:row>
    <x:row r="7" ht="75" customHeight="1">
      <x:c r="A7" s="28" t="str">
        <x:v>48 meses</x:v>
      </x:c>
      <x:c r="B7" s="31" t="n">
        <x:f>'Proyeccion 48m'!H52</x:f>
        <x:v>131.5287252571939</x:v>
      </x:c>
      <x:c r="C7" s="34" t="n">
        <x:f>'Proyeccion 48m'!I52</x:f>
        <x:v>44092374.56796911</x:v>
      </x:c>
      <x:c r="D7" s="28" t="str">
        <x:v>Equipo regional: ventas norte/centro + CS segmentado + ingeniería dedicada</x:v>
      </x:c>
      <x:c r="E7" s="28" t="str">
        <x:v>Canales, alianzas y expansión regional</x:v>
      </x:c>
      <x:c r="F7" s="28" t="str">
        <x:v>Marketplace de requisitos, benchmarks y automatización avanzada</x:v>
      </x:c>
      <x:c r="G7" s="28" t="str">
        <x:v>Complejidad multi-país y seguridad</x:v>
      </x:c>
      <x:c r="H7" s="28" t="str">
        <x:v>Evaluar Perú; ISO 27001/SOC 2 y canal de partners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5" hidden="0" customWidth="1"/>
    <x:col min="3" max="3" width="68" hidden="0" customWidth="1"/>
  </x:cols>
  <x:sheetData>
    <x:row r="1" ht="32" customHeight="1">
      <x:c r="A1" s="3" t="str">
        <x:v>Fuentes y trazabilidad</x:v>
      </x:c>
      <x:c r="B1" s="3"/>
      <x:c r="C1" s="3"/>
    </x:row>
    <x:row r="2" ht="26" customHeight="1">
      <x:c r="A2" s="7" t="str">
        <x:v>Las fuentes soportan funciones, precios públicos y tamaño de mercado. Las proyecciones son supuestos Domian editables.</x:v>
      </x:c>
      <x:c r="B2" s="7"/>
      <x:c r="C2" s="7"/>
    </x:row>
    <x:row r="4">
      <x:c r="A4" s="16" t="str">
        <x:v>Fuente</x:v>
      </x:c>
      <x:c r="B4" s="17" t="str">
        <x:v>URL</x:v>
      </x:c>
      <x:c r="C4" s="18" t="str">
        <x:v>Uso en el análisis</x:v>
      </x:c>
    </x:row>
    <x:row r="5">
      <x:c r="A5" s="26" t="str">
        <x:v>Workmate Resource Manager</x:v>
      </x:c>
      <x:c r="B5" s="26" t="str">
        <x:v>https://www.workmate.cl/resource-manager/</x:v>
      </x:c>
      <x:c r="C5" s="26" t="str">
        <x:v>Módulos de acreditación, acceso, control laboral, campamentos y policlínico</x:v>
      </x:c>
    </x:row>
    <x:row r="6">
      <x:c r="A6" s="27" t="str">
        <x:v>Workmate SUCAL</x:v>
      </x:c>
      <x:c r="B6" s="27" t="str">
        <x:v>https://www.workmate.cl/sucal-workmate-y-codelco-transforman-el-proceso-de-acreditacion-laboral-con-innovadora-plataforma/</x:v>
      </x:c>
      <x:c r="C6" s="27" t="str">
        <x:v>Escala publicada de más de 80.000 personas</x:v>
      </x:c>
    </x:row>
    <x:row r="7">
      <x:c r="A7" s="27" t="str">
        <x:v>Krew</x:v>
      </x:c>
      <x:c r="B7" s="27" t="str">
        <x:v>https://krew.team/</x:v>
      </x:c>
      <x:c r="C7" s="27" t="str">
        <x:v>AI/OCR, alertas 30/15/7, permisos, QR y auditoría</x:v>
      </x:c>
    </x:row>
    <x:row r="8">
      <x:c r="A8" s="27" t="str">
        <x:v>Worku</x:v>
      </x:c>
      <x:c r="B8" s="27" t="str">
        <x:v>https://www.worku.cl/</x:v>
      </x:c>
      <x:c r="C8" s="27" t="str">
        <x:v>Acreditación preventiva, integración y seguridad publicada</x:v>
      </x:c>
    </x:row>
    <x:row r="9">
      <x:c r="A9" s="27" t="str">
        <x:v>Minpass</x:v>
      </x:c>
      <x:c r="B9" s="27" t="str">
        <x:v>https://minpass.com/</x:v>
      </x:c>
      <x:c r="C9" s="27" t="str">
        <x:v>Perfil reutilizable, contratistas y mandantes</x:v>
      </x:c>
    </x:row>
    <x:row r="10">
      <x:c r="A10" s="27" t="str">
        <x:v>SmartCheck</x:v>
      </x:c>
      <x:c r="B10" s="27" t="str">
        <x:v>https://www.smartcheck.cl/</x:v>
      </x:c>
      <x:c r="C10" s="27" t="str">
        <x:v>Matrices documentales, contratistas, activos e interoperabilidad</x:v>
      </x:c>
    </x:row>
    <x:row r="11">
      <x:c r="A11" s="27" t="str">
        <x:v>Vigenty</x:v>
      </x:c>
      <x:c r="B11" s="27" t="str">
        <x:v>https://www.vigenty.cl/</x:v>
      </x:c>
      <x:c r="C11" s="27" t="str">
        <x:v>Mesa de validación, riesgos, acceso y auditoría</x:v>
      </x:c>
    </x:row>
    <x:row r="12">
      <x:c r="A12" s="27" t="str">
        <x:v>ASTA</x:v>
      </x:c>
      <x:c r="B12" s="27" t="str">
        <x:v>https://www.asta.cl/</x:v>
      </x:c>
      <x:c r="C12" s="27" t="str">
        <x:v>Funciones y precios $29.900 / $89.900 / $249.900 mensuales</x:v>
      </x:c>
    </x:row>
    <x:row r="13">
      <x:c r="A13" s="27" t="str">
        <x:v>SGI Exacto</x:v>
      </x:c>
      <x:c r="B13" s="27" t="str">
        <x:v>https://www.sgi.exacto.cl/</x:v>
      </x:c>
      <x:c r="C13" s="27" t="str">
        <x:v>Suite integral minera</x:v>
      </x:c>
    </x:row>
    <x:row r="14">
      <x:c r="A14" s="27" t="str">
        <x:v>SubCheck</x:v>
      </x:c>
      <x:c r="B14" s="27" t="str">
        <x:v>https://www.subcheck.cl/</x:v>
      </x:c>
      <x:c r="C14" s="27" t="str">
        <x:v>Cumplimiento laboral y previsional</x:v>
      </x:c>
    </x:row>
    <x:row r="15">
      <x:c r="A15" s="27" t="str">
        <x:v>Rex+</x:v>
      </x:c>
      <x:c r="B15" s="27" t="str">
        <x:v>https://rexmas.com/precios/</x:v>
      </x:c>
      <x:c r="C15" s="27" t="str">
        <x:v>Precios por colaborador y mínimos en UF</x:v>
      </x:c>
    </x:row>
    <x:row r="16">
      <x:c r="A16" s="27" t="str">
        <x:v>Buk</x:v>
      </x:c>
      <x:c r="B16" s="27" t="str">
        <x:v>https://www.buk.cl/precios</x:v>
      </x:c>
      <x:c r="C16" s="27" t="str">
        <x:v>Cobro mensual por colaboradores vigentes y módulos</x:v>
      </x:c>
    </x:row>
    <x:row r="17">
      <x:c r="A17" s="27" t="str">
        <x:v>SII UF 2026</x:v>
      </x:c>
      <x:c r="B17" s="27" t="str">
        <x:v>https://www.sii.cl/valores_y_fechas/uf/uf2026.htm</x:v>
      </x:c>
      <x:c r="C17" s="27" t="str">
        <x:v>UF del 06-07-2026: $40.836,63</x:v>
      </x:c>
    </x:row>
    <x:row r="18">
      <x:c r="A18" s="27" t="str">
        <x:v>SICEP / Reporte Minero</x:v>
      </x:c>
      <x:c r="B18" s="27" t="str">
        <x:v>https://www.reporteminero.cl/noticia/entrevistas/2025/12/sicep-ecosistema-proveedores-mineros-chile</x:v>
      </x:c>
      <x:c r="C18" s="27" t="str">
        <x:v>Más de 3.500 proveedores y 36 grandes compañías usuarias</x:v>
      </x:c>
    </x:row>
    <x:row r="19">
      <x:c r="A19" s="27" t="str">
        <x:v>Benchmark churn vertical SaaS</x:v>
      </x:c>
      <x:c r="B19" s="27" t="str">
        <x:v>https://churnrecovery.com/posts/B2B-SaaS-Churn-Benchmarks-2025</x:v>
      </x:c>
      <x:c r="C19" s="27" t="str">
        <x:v>Churn anual de referencia 4%-8% para vertical SaaS; modelo usa escenarios más prudentes</x:v>
      </x:c>
    </x:row>
    <x:row r="20">
      <x:c r="A20" s="28" t="str">
        <x:v>Benchmark CAC payback</x:v>
      </x:c>
      <x:c r="B20" s="28" t="str">
        <x:v>https://mowsix.com/insights/unit-economics-benchmarks-2026/</x:v>
      </x:c>
      <x:c r="C20" s="28" t="str">
        <x:v>Payback recomendado bajo 12-18 meses según segmento</x:v>
      </x:c>
    </x:row>
  </x:sheetData>
  <x:mergeCells>
    <x:mergeCell ref="A1:C1"/>
    <x:mergeCell ref="A2:C2"/>
  </x:mergeCells>
  <x:pageMargins left="0.7" right="0.7" top="0.75" bottom="0.75" header="0.3" footer="0.3"/>
</x:worksheet>
</file>